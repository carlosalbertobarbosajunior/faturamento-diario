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carlos.junior\Desktop\FaturamentoDiario\"/>
    </mc:Choice>
  </mc:AlternateContent>
  <xr:revisionPtr revIDLastSave="0" documentId="13_ncr:1_{89CAE388-3454-48D7-8B03-8B5D11BED3D9}" xr6:coauthVersionLast="47" xr6:coauthVersionMax="47" xr10:uidLastSave="{00000000-0000-0000-0000-000000000000}"/>
  <bookViews>
    <workbookView xWindow="-15975" yWindow="-2580" windowWidth="15375" windowHeight="7875" tabRatio="941" firstSheet="2" activeTab="3" xr2:uid="{00000000-000D-0000-FFFF-FFFF00000000}"/>
  </bookViews>
  <sheets>
    <sheet name="vwFaturamentoOS" sheetId="4" state="hidden" r:id="rId1"/>
    <sheet name="DateSystem" sheetId="1" state="hidden" r:id="rId2"/>
    <sheet name="DB1" sheetId="2" r:id="rId3"/>
    <sheet name="Faturamento" sheetId="5" r:id="rId4"/>
  </sheets>
  <definedNames>
    <definedName name="_xlcn.WorksheetConnection_Dashboard_Faturamento.xlsmvwFaturamentoOS1" hidden="1">vwFaturamentoOS[]</definedName>
    <definedName name="DadosExternos_1" localSheetId="0" hidden="1">vwFaturamentoOS!$A$1:$J$1230</definedName>
    <definedName name="Print_Area" localSheetId="3">Faturamento!$A$1:$Q$28</definedName>
    <definedName name="Print_Area" localSheetId="0">vwFaturamentoOS!$A$1:$G$138</definedName>
  </definedNames>
  <calcPr calcId="18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wFaturamentoOS" name="vwFaturamentoOS" connection="WorksheetConnection_Dashboard_Faturamento.xlsm!vwFaturamentoOS"/>
        </x15:modelTables>
        <x15:extLst>
          <ext xmlns:x16="http://schemas.microsoft.com/office/spreadsheetml/2014/11/main" uri="{9835A34E-60A6-4A7C-AAB8-D5F71C897F49}">
            <x16:modelTimeGroupings>
              <x16:modelTimeGrouping tableName="vwFaturamentoOS" columnName="Data de Emissão da NF" columnId="Data de Emissão da NF">
                <x16:calculatedTimeColumn columnName="Data de Emissão da NF (Ano)" columnId="Data de Emissão da NF (Ano)" contentType="years" isSelected="1"/>
                <x16:calculatedTimeColumn columnName="Data de Emissão da NF (Trimestre)" columnId="Data de Emissão da NF (Trimestre)" contentType="quarters" isSelected="1"/>
                <x16:calculatedTimeColumn columnName="Data de Emissão da NF (Índice de Mês)" columnId="Data de Emissão da NF (Índice de Mês)" contentType="monthsindex" isSelected="1"/>
                <x16:calculatedTimeColumn columnName="Data de Emissão da NF (Mês)" columnId="Data de Emissão da NF (Mê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L7" i="2" l="1"/>
  <c r="I14" i="2"/>
  <c r="B4" i="1"/>
  <c r="F4" i="1" l="1"/>
  <c r="G3" i="2" l="1"/>
  <c r="G4" i="2"/>
  <c r="G5" i="2"/>
  <c r="G6" i="2"/>
  <c r="G7" i="2"/>
  <c r="G8" i="2"/>
  <c r="G9" i="2"/>
  <c r="G10" i="2"/>
  <c r="G11" i="2"/>
  <c r="G12" i="2"/>
  <c r="G13" i="2"/>
  <c r="G2" i="2"/>
  <c r="C4" i="1"/>
  <c r="B24" i="1" l="1"/>
  <c r="B19" i="1"/>
  <c r="B14" i="1"/>
  <c r="E9" i="1"/>
  <c r="D9" i="1"/>
  <c r="D14" i="1" s="1"/>
  <c r="C9" i="1"/>
  <c r="C14" i="1" s="1"/>
  <c r="B9" i="1"/>
  <c r="G20" i="1" l="1"/>
  <c r="B26" i="1"/>
  <c r="F20" i="1"/>
  <c r="G19" i="1"/>
  <c r="E20" i="1"/>
  <c r="F19" i="1"/>
  <c r="D20" i="1"/>
  <c r="E19" i="1"/>
  <c r="D19" i="1"/>
  <c r="D24" i="1"/>
  <c r="C24" i="1"/>
  <c r="J1" i="2"/>
  <c r="C19" i="1"/>
  <c r="I11" i="1" a="1"/>
  <c r="I11" i="1" s="1"/>
  <c r="E14" i="1"/>
  <c r="J7" i="2"/>
  <c r="I16" i="1" l="1"/>
  <c r="I15" i="1"/>
  <c r="I14" i="1"/>
  <c r="I13" i="1"/>
  <c r="I12" i="1"/>
  <c r="J13" i="2"/>
  <c r="J3" i="2"/>
  <c r="J5" i="2"/>
  <c r="J6" i="2"/>
  <c r="J10" i="2"/>
  <c r="J11" i="2"/>
  <c r="J4" i="2"/>
  <c r="J8" i="2"/>
  <c r="J2" i="2"/>
  <c r="J12" i="2"/>
  <c r="J9" i="2"/>
  <c r="J14" i="2" l="1"/>
  <c r="L10" i="2" s="1"/>
  <c r="M4" i="2"/>
  <c r="L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7AD256-1A5F-49BB-89CF-00EE5D6AB938}" keepAlive="1" name="Consulta - vwFaturamentoOS (2)" description="Conexão com a consulta 'vwFaturamentoOS (2)' na pasta de trabalho." type="5" refreshedVersion="7" background="1">
    <dbPr connection="Provider=Microsoft.Mashup.OleDb.1;Data Source=$Workbook$;Location=&quot;vwFaturamentoOS (2)&quot;;Extended Properties=&quot;&quot;" command="SELECT * FROM [vwFaturamentoOS (2)]"/>
  </connection>
  <connection id="2" xr16:uid="{A6F74165-8938-4FC6-BF94-B2F16D4556B5}" keepAlive="1" name="Consulta - vwFaturamentoOS (3)" description="Conexão com a consulta 'vwFaturamentoOS (3)' na pasta de trabalho." type="5" refreshedVersion="7" background="1" saveData="1">
    <dbPr connection="Provider=Microsoft.Mashup.OleDb.1;Data Source=$Workbook$;Location=&quot;vwFaturamentoOS (3)&quot;;Extended Properties=&quot;&quot;" command="SELECT * FROM [vwFaturamentoOS (3)]"/>
  </connection>
  <connection id="3" xr16:uid="{68666576-06AB-4A48-A1BC-59C92E1C14D7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E0AF58C-D688-4EF9-88C7-7103ED17E16D}" name="WorksheetConnection_Dashboard_Faturamento.xlsm!vwFaturamentoOS" type="102" refreshedVersion="7" minRefreshableVersion="5">
    <extLst>
      <ext xmlns:x15="http://schemas.microsoft.com/office/spreadsheetml/2010/11/main" uri="{DE250136-89BD-433C-8126-D09CA5730AF9}">
        <x15:connection id="vwFaturamentoOS">
          <x15:rangePr sourceName="_xlcn.WorksheetConnection_Dashboard_Faturamento.xlsmvwFaturamentoO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<sst xmlns="http://schemas.openxmlformats.org/spreadsheetml/2006/main" count="2134" uniqueCount="127">
  <si>
    <t>Hoje</t>
  </si>
  <si>
    <t>Dia</t>
  </si>
  <si>
    <t>Data abreviada</t>
  </si>
  <si>
    <t>Data completa</t>
  </si>
  <si>
    <t>Primeiro dia do mês</t>
  </si>
  <si>
    <t>Último dia do mês</t>
  </si>
  <si>
    <t>Dia da semana</t>
  </si>
  <si>
    <t>Semana</t>
  </si>
  <si>
    <t>Nº da semana</t>
  </si>
  <si>
    <t>Primeira semana do mês</t>
  </si>
  <si>
    <t>Última semana do mês</t>
  </si>
  <si>
    <t>Nº de semanas do mês</t>
  </si>
  <si>
    <t>Lista de semanas do mês</t>
  </si>
  <si>
    <t>Mês</t>
  </si>
  <si>
    <t>Mês (extenso)</t>
  </si>
  <si>
    <t>Mês (simplificado)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</si>
  <si>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</si>
  <si>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</si>
  <si>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</si>
  <si>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</si>
  <si>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</si>
  <si>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</si>
  <si>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</si>
  <si>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</si>
  <si>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</si>
  <si>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</si>
  <si>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</si>
  <si>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</si>
  <si>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</si>
  <si>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</si>
  <si>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</si>
  <si>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</si>
  <si>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</si>
  <si>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</si>
  <si>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</si>
  <si>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</si>
  <si>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</si>
  <si>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</si>
  <si>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</si>
  <si>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</si>
  <si>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</t>
  </si>
  <si>
    <t>Ano completo</t>
  </si>
  <si>
    <t>Ano abreviado</t>
  </si>
  <si>
    <t>Data de Emissão da NF</t>
  </si>
  <si>
    <t>Soma de Valor Médio da OS</t>
  </si>
  <si>
    <t>Anos</t>
  </si>
  <si>
    <t>OS</t>
  </si>
  <si>
    <t>NF</t>
  </si>
  <si>
    <t>Valor Médio da OS</t>
  </si>
  <si>
    <t>Cliente</t>
  </si>
  <si>
    <t>Carteirista</t>
  </si>
  <si>
    <t>Valor Orçado</t>
  </si>
  <si>
    <t>Semana de Emissão da NF</t>
  </si>
  <si>
    <t xml:space="preserve">PRYSMIAN - VILA VELHA </t>
  </si>
  <si>
    <t>TECHNIP AÇÚ-RJ</t>
  </si>
  <si>
    <t>TECHNIP VITÓRIA-ES</t>
  </si>
  <si>
    <t>BHGE - GE</t>
  </si>
  <si>
    <t>CALDEX</t>
  </si>
  <si>
    <t>USIESP USINAGENS ESPECIAIS LTDA</t>
  </si>
  <si>
    <t>AKER SOLUTIONS PR</t>
  </si>
  <si>
    <t>DANIELI DO BRASIL</t>
  </si>
  <si>
    <t>OLAM AGRICOLA LTDA</t>
  </si>
  <si>
    <t>RID</t>
  </si>
  <si>
    <t>VALE S.A.</t>
  </si>
  <si>
    <t>ARCELOR MITTAL</t>
  </si>
  <si>
    <t>ALLONDA AMBIENTAL S.A.</t>
  </si>
  <si>
    <t>ICM METAIS</t>
  </si>
  <si>
    <t>THYSSENKRUPP INDUSTRIAL SOLUTIONS LTDA</t>
  </si>
  <si>
    <t>VOITH PAPER MAQUINAS E EQUIPAMENTOS LTDA</t>
  </si>
  <si>
    <t>BNG METALMECANICA LTDA</t>
  </si>
  <si>
    <t>UTE GNA I GERAÇÃO DE ENERGIA S.A.</t>
  </si>
  <si>
    <t>Total</t>
  </si>
  <si>
    <t>Ano anterior</t>
  </si>
  <si>
    <t>Desvio do acumulado</t>
  </si>
  <si>
    <t>Desvio do mês</t>
  </si>
  <si>
    <t>Faturamento acumulado ano anterior</t>
  </si>
  <si>
    <t>Faturamento acumulado do ano</t>
  </si>
  <si>
    <t>feb</t>
  </si>
  <si>
    <t>Mês(simplificado) (en-us)</t>
  </si>
  <si>
    <t>apr</t>
  </si>
  <si>
    <t>may</t>
  </si>
  <si>
    <t>aug</t>
  </si>
  <si>
    <t>sep</t>
  </si>
  <si>
    <t>oct</t>
  </si>
  <si>
    <t>dec</t>
  </si>
  <si>
    <t>Semana seguinte</t>
  </si>
  <si>
    <t>Valor Restante a Faturar</t>
  </si>
  <si>
    <t>HKM</t>
  </si>
  <si>
    <t>TECHNIP VIANA-ES</t>
  </si>
  <si>
    <t>TECHNIP MACAÉ-RJ</t>
  </si>
  <si>
    <t>THYSSENKRUPP</t>
  </si>
  <si>
    <t>KUTTNER DO BRASIL EQUIPAMENTOS SIDERURGICOS L</t>
  </si>
  <si>
    <t>VITORIA INDUSTRIAL LTDA ME</t>
  </si>
  <si>
    <t>AÇOMEC</t>
  </si>
  <si>
    <t>STOLTHAVEN</t>
  </si>
  <si>
    <t>GE WIND</t>
  </si>
  <si>
    <t xml:space="preserve">METSO </t>
  </si>
  <si>
    <t>RIP SERVICOS INDUSTRIAIS LTDA</t>
  </si>
  <si>
    <t>BAKER HUGHES DO BRASIL LTDA</t>
  </si>
  <si>
    <t>INOVAR SERVIÇOS E MANUTENÇÃO EIRELI</t>
  </si>
  <si>
    <t>INDUSTRIA E COMERCIO METALURGICA BROMBERG LTD</t>
  </si>
  <si>
    <t>Mês+1</t>
  </si>
  <si>
    <t>Mês+2</t>
  </si>
  <si>
    <t>Mês+3</t>
  </si>
  <si>
    <t>Ano seguinte</t>
  </si>
  <si>
    <t xml:space="preserve">METALVIX </t>
  </si>
  <si>
    <t>LEONARDO SILVA DELPENHO</t>
  </si>
  <si>
    <t>IARA SPERANDIO</t>
  </si>
  <si>
    <t>METSO OUTOTEC BRASIL INDÚSTRIA E COMÉRCIO LTD</t>
  </si>
  <si>
    <t>Gestor(a) de Contratos</t>
  </si>
  <si>
    <t>FLSMIDTH LTDA.</t>
  </si>
  <si>
    <t>BAKER HUGHES ENERGY TECHNOLOGY DO BRASIL</t>
  </si>
  <si>
    <t>TECHNIP BRASIL - ENGENHARIA, INSTALACOES E AP</t>
  </si>
  <si>
    <t>JOSE OSCAR DA SILVA</t>
  </si>
  <si>
    <t>CARLOS DEODATO MACIEL</t>
  </si>
  <si>
    <t>LUCIANA BELMIRA FELIX DOS SANTOS SOARES</t>
  </si>
  <si>
    <t>ICON MAQUINAS E EQUIPAMENTOS LTDA</t>
  </si>
  <si>
    <t>KENNEDY ALBERTO ALVES</t>
  </si>
  <si>
    <t>CARLOS ANJOS DE OLIVEIRA</t>
  </si>
  <si>
    <t>NORDEX ENERGY BRASIL</t>
  </si>
  <si>
    <t>EDUARDO SPALENZA CASER</t>
  </si>
  <si>
    <t>JEIDISON MARQUEZ</t>
  </si>
  <si>
    <t>VIMETAL</t>
  </si>
  <si>
    <t>VALE TUBARAO VITORIA-ES CVRD AREA OPERACIONAL</t>
  </si>
  <si>
    <t>TEXCAL</t>
  </si>
  <si>
    <t>CSP</t>
  </si>
  <si>
    <t>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</si>
</sst>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[$-F800]dddd\,\ mmmm\ dd\,\ yyyy"/>
    <numFmt numFmtId="165" formatCode="&quot;R$&quot;\ #,##0.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6">
    <xf numFmtId="0" fontId="0" fillId="0" borderId="0" xfId="0"/>
    <xf numFmtId="14" fontId="0" fillId="0" borderId="0" xfId="0" applyNumberFormat="1"/>
    <xf numFmtId="44" fontId="0" fillId="0" borderId="0" xfId="1" applyFont="1"/>
    <xf numFmtId="0" fontId="0" fillId="0" borderId="0" xfId="0" applyAlignment="1">
      <alignment horizontal="center" vertical="center" wrapText="1"/>
    </xf>
    <xf numFmtId="44" fontId="0" fillId="0" borderId="0" xfId="1" applyFont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/>
    <xf numFmtId="44" fontId="0" fillId="0" borderId="0" xfId="1" applyFont="1" applyBorder="1"/>
    <xf numFmtId="4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 vertical="center"/>
    </xf>
    <xf numFmtId="9" fontId="0" fillId="0" borderId="0" xfId="2" applyFont="1" applyBorder="1" applyAlignment="1">
      <alignment horizontal="center" vertical="center"/>
    </xf>
    <xf numFmtId="44" fontId="1" fillId="0" borderId="0" xfId="1" applyFont="1" applyFill="1" applyBorder="1"/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1" applyNumberFormat="1" applyFont="1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0" xfId="0" applyFont="1" applyBorder="1" applyAlignment="1">
      <alignment horizontal="center" vertical="center"/>
    </xf>
    <xf numFmtId="0" fontId="0" fillId="0" borderId="0" xfId="0" pivotButton="1" applyBorder="1"/>
    <xf numFmtId="0" fontId="0" fillId="0" borderId="0" xfId="0" applyBorder="1"/>
    <xf numFmtId="165" fontId="0" fillId="0" borderId="0" xfId="0" applyNumberFormat="1" applyBorder="1"/>
    <xf numFmtId="0" fontId="0" fillId="0" borderId="0" xfId="0" applyNumberFormat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44" fontId="0" fillId="0" borderId="0" xfId="1" applyFont="1" applyBorder="1" applyAlignment="1">
      <alignment horizontal="center"/>
    </xf>
    <xf numFmtId="44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33CC"/>
      <color rgb="FF1D83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eetMetadata" Target="metadata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COMPARATIVO DE FATURAMENTO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'DB1'!$I$1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6350"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'DB1'!$G$2:$G$13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'DB1'!$I$2:$I$13</c:f>
              <c:numCache>
                <c:formatCode>_("R$"* #,##0.00_);_("R$"* \(#,##0.00\);_("R$"* "-"??_);_(@_)</c:formatCode>
                <c:ptCount val="12"/>
                <c:pt idx="0">
                  <c:v>4358381.26</c:v>
                </c:pt>
                <c:pt idx="1">
                  <c:v>2735480.5</c:v>
                </c:pt>
                <c:pt idx="2">
                  <c:v>7005986.7700000005</c:v>
                </c:pt>
                <c:pt idx="3">
                  <c:v>8495938.5899999999</c:v>
                </c:pt>
                <c:pt idx="4">
                  <c:v>9471844.5199999977</c:v>
                </c:pt>
                <c:pt idx="5">
                  <c:v>8517833.5799999982</c:v>
                </c:pt>
                <c:pt idx="6">
                  <c:v>14222362.419999996</c:v>
                </c:pt>
                <c:pt idx="7">
                  <c:v>11764477.290000001</c:v>
                </c:pt>
                <c:pt idx="8">
                  <c:v>10684289.829999996</c:v>
                </c:pt>
                <c:pt idx="9">
                  <c:v>9472709.5099999942</c:v>
                </c:pt>
                <c:pt idx="10">
                  <c:v>6936572.0600000005</c:v>
                </c:pt>
                <c:pt idx="11">
                  <c:v>7766512.9500000048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D8-43EA-A73C-C45370A48DBD}"/>
            </c:ext>
          </c:extLst>
        </c:ser>
        <c:ser>
          <c:idx val="1"/>
          <c:order val="1"/>
          <c:tx>
            <c:strRef>
              <c:f>'DB1'!$J$1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rgbClr val="1D83D4"/>
            </a:solidFill>
            <a:ln w="6350">
              <a:solidFill>
                <a:sysClr val="windowText" lastClr="000000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cat>
            <c:strRef>
              <c:f>'DB1'!$G$2:$G$13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'DB1'!$J$2:$J$13</c:f>
              <c:numCache>
                <c:formatCode>_("R$"* #,##0.00_);_("R$"* \(#,##0.00\);_("R$"* "-"??_);_(@_)</c:formatCode>
                <c:ptCount val="12"/>
                <c:pt idx="0">
                  <c:v>474934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D8-43EA-A73C-C45370A48D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532144"/>
        <c:axId val="127529232"/>
      </c:barChart>
      <c:catAx>
        <c:axId val="12753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529232"/>
        <c:crosses val="autoZero"/>
        <c:auto val="1"/>
        <c:lblAlgn val="ctr"/>
        <c:lblOffset val="100"/>
        <c:noMultiLvlLbl val="0"/>
      </c:catAx>
      <c:valAx>
        <c:axId val="127529232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7532144"/>
        <c:crosses val="autoZero"/>
        <c:crossBetween val="between"/>
      </c:valAx>
      <c:dTable>
        <c:showHorzBorder val="0"/>
        <c:showVertBorder val="1"/>
        <c:showOutline val="0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46038</xdr:rowOff>
    </xdr:from>
    <xdr:to>
      <xdr:col>16</xdr:col>
      <xdr:colOff>603250</xdr:colOff>
      <xdr:row>24</xdr:row>
      <xdr:rowOff>170155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BB7F43F3-F025-6E5B-E5BC-E72142C0A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17538"/>
          <a:ext cx="10382250" cy="4124617"/>
        </a:xfrm>
        <a:prstGeom prst="rect">
          <a:avLst/>
        </a:prstGeom>
      </xdr:spPr>
    </xdr:pic>
    <xdr:clientData/>
  </xdr:twoCellAnchor>
  <xdr:twoCellAnchor>
    <xdr:from>
      <xdr:col>0</xdr:col>
      <xdr:colOff>95251</xdr:colOff>
      <xdr:row>5</xdr:row>
      <xdr:rowOff>104774</xdr:rowOff>
    </xdr:from>
    <xdr:to>
      <xdr:col>16</xdr:col>
      <xdr:colOff>592668</xdr:colOff>
      <xdr:row>21</xdr:row>
      <xdr:rowOff>95249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D87100-19C2-409F-A70A-EC681E2E89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522283</xdr:colOff>
      <xdr:row>1</xdr:row>
      <xdr:rowOff>25400</xdr:rowOff>
    </xdr:from>
    <xdr:to>
      <xdr:col>15</xdr:col>
      <xdr:colOff>336543</xdr:colOff>
      <xdr:row>5</xdr:row>
      <xdr:rowOff>177800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D7AA6550-F9D0-E90B-2609-740B0892F756}"/>
            </a:ext>
          </a:extLst>
        </xdr:cNvPr>
        <xdr:cNvGrpSpPr/>
      </xdr:nvGrpSpPr>
      <xdr:grpSpPr>
        <a:xfrm>
          <a:off x="1133471" y="215900"/>
          <a:ext cx="8370885" cy="914400"/>
          <a:chOff x="219076" y="3190875"/>
          <a:chExt cx="8349728" cy="914400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16A20C7-CFB9-8DAD-3563-8333D7DFE5C6}"/>
              </a:ext>
            </a:extLst>
          </xdr:cNvPr>
          <xdr:cNvGrpSpPr/>
        </xdr:nvGrpSpPr>
        <xdr:grpSpPr>
          <a:xfrm>
            <a:off x="219076" y="3190875"/>
            <a:ext cx="6800850" cy="447675"/>
            <a:chOff x="247651" y="3076575"/>
            <a:chExt cx="6800850" cy="447675"/>
          </a:xfrm>
        </xdr:grpSpPr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500FAC5C-86EF-8620-83F4-BA420785E9AE}"/>
                </a:ext>
              </a:extLst>
            </xdr:cNvPr>
            <xdr:cNvSpPr txBox="1"/>
          </xdr:nvSpPr>
          <xdr:spPr>
            <a:xfrm>
              <a:off x="247651" y="3076575"/>
              <a:ext cx="1924050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/>
                <a:t>No acumulado até </a:t>
              </a:r>
            </a:p>
          </xdr:txBody>
        </xdr:sp>
        <xdr:sp macro="" textlink="DateSystem!C19">
          <xdr:nvSpPr>
            <xdr:cNvPr id="4" name="CaixaDeTexto 3">
              <a:extLst>
                <a:ext uri="{FF2B5EF4-FFF2-40B4-BE49-F238E27FC236}">
                  <a16:creationId xmlns:a16="http://schemas.microsoft.com/office/drawing/2014/main" id="{4614CDB6-4E98-4EA8-85D1-B25DB72CAC17}"/>
                </a:ext>
              </a:extLst>
            </xdr:cNvPr>
            <xdr:cNvSpPr txBox="1"/>
          </xdr:nvSpPr>
          <xdr:spPr>
            <a:xfrm>
              <a:off x="1975131" y="3076575"/>
              <a:ext cx="1227311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A431D16-81B0-445C-9F92-AB27366C8795}" type="TxLink">
                <a:rPr lang="en-US" sz="1800" b="1" i="0" u="none" strike="noStrike">
                  <a:solidFill>
                    <a:srgbClr val="1D83D4"/>
                  </a:solidFill>
                  <a:latin typeface="Calibri"/>
                  <a:cs typeface="Calibri"/>
                </a:rPr>
                <a:pPr algn="ctr"/>
                <a:t>Janeiro</a:t>
              </a:fld>
              <a:endParaRPr lang="pt-BR" sz="3200" b="1">
                <a:solidFill>
                  <a:srgbClr val="1D83D4"/>
                </a:solidFill>
              </a:endParaRPr>
            </a:p>
          </xdr:txBody>
        </xdr:sp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CF97A213-B5ED-4280-8DFB-98377F1D3852}"/>
                </a:ext>
              </a:extLst>
            </xdr:cNvPr>
            <xdr:cNvSpPr txBox="1"/>
          </xdr:nvSpPr>
          <xdr:spPr>
            <a:xfrm>
              <a:off x="3063718" y="3076575"/>
              <a:ext cx="3514724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o desvio positivo</a:t>
              </a: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apresentado é de</a:t>
              </a:r>
            </a:p>
          </xdr:txBody>
        </xdr:sp>
        <xdr:sp macro="" textlink="'DB1'!L4">
          <xdr:nvSpPr>
            <xdr:cNvPr id="6" name="CaixaDeTexto 5">
              <a:extLst>
                <a:ext uri="{FF2B5EF4-FFF2-40B4-BE49-F238E27FC236}">
                  <a16:creationId xmlns:a16="http://schemas.microsoft.com/office/drawing/2014/main" id="{C6079BF0-3C10-43B3-90B8-786D3940FC1F}"/>
                </a:ext>
              </a:extLst>
            </xdr:cNvPr>
            <xdr:cNvSpPr txBox="1"/>
          </xdr:nvSpPr>
          <xdr:spPr>
            <a:xfrm>
              <a:off x="6296025" y="3076575"/>
              <a:ext cx="752476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15B91F3B-2AF4-42FF-8125-E1F55AAEB859}" type="TxLink">
                <a:rPr lang="en-US" sz="1800" b="1" i="0" u="none" strike="noStrike">
                  <a:solidFill>
                    <a:srgbClr val="1D83D4"/>
                  </a:solidFill>
                  <a:latin typeface="Calibri"/>
                  <a:cs typeface="Calibri"/>
                </a:rPr>
                <a:pPr algn="ctr"/>
                <a:t>-89%</a:t>
              </a:fld>
              <a:endParaRPr lang="en-US" sz="1800" b="1">
                <a:solidFill>
                  <a:srgbClr val="1D83D4"/>
                </a:solidFill>
              </a:endParaRP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2066CA8-072F-1332-533B-B913051983AB}"/>
              </a:ext>
            </a:extLst>
          </xdr:cNvPr>
          <xdr:cNvGrpSpPr/>
        </xdr:nvGrpSpPr>
        <xdr:grpSpPr>
          <a:xfrm>
            <a:off x="228600" y="3648075"/>
            <a:ext cx="8340204" cy="457200"/>
            <a:chOff x="228600" y="3648075"/>
            <a:chExt cx="8340204" cy="457200"/>
          </a:xfrm>
        </xdr:grpSpPr>
        <xdr:sp macro="" textlink="">
          <xdr:nvSpPr>
            <xdr:cNvPr id="12" name="CaixaDeTexto 11">
              <a:extLst>
                <a:ext uri="{FF2B5EF4-FFF2-40B4-BE49-F238E27FC236}">
                  <a16:creationId xmlns:a16="http://schemas.microsoft.com/office/drawing/2014/main" id="{1F192C67-6AD7-4836-B3C1-491CC08C04E0}"/>
                </a:ext>
              </a:extLst>
            </xdr:cNvPr>
            <xdr:cNvSpPr txBox="1"/>
          </xdr:nvSpPr>
          <xdr:spPr>
            <a:xfrm>
              <a:off x="228600" y="3648075"/>
              <a:ext cx="1209675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/>
                <a:t>No mês de</a:t>
              </a:r>
            </a:p>
          </xdr:txBody>
        </xdr:sp>
        <xdr:sp macro="" textlink="DateSystem!C19">
          <xdr:nvSpPr>
            <xdr:cNvPr id="13" name="CaixaDeTexto 12">
              <a:extLst>
                <a:ext uri="{FF2B5EF4-FFF2-40B4-BE49-F238E27FC236}">
                  <a16:creationId xmlns:a16="http://schemas.microsoft.com/office/drawing/2014/main" id="{90346866-E97C-4398-9B12-DAA92F0038BF}"/>
                </a:ext>
              </a:extLst>
            </xdr:cNvPr>
            <xdr:cNvSpPr txBox="1"/>
          </xdr:nvSpPr>
          <xdr:spPr>
            <a:xfrm>
              <a:off x="1224261" y="3656012"/>
              <a:ext cx="1292459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A0F51049-1BE6-4E0A-BCBB-9079EEAC0A02}" type="TxLink">
                <a:rPr lang="en-US" sz="1800" b="1" i="0" u="none" strike="noStrike">
                  <a:solidFill>
                    <a:srgbClr val="1D83D4"/>
                  </a:solidFill>
                  <a:latin typeface="Calibri"/>
                  <a:cs typeface="Calibri"/>
                </a:rPr>
                <a:pPr algn="ctr"/>
                <a:t>Janeiro</a:t>
              </a:fld>
              <a:endParaRPr lang="pt-BR" sz="3200" b="1">
                <a:solidFill>
                  <a:srgbClr val="1D83D4"/>
                </a:solidFill>
              </a:endParaRPr>
            </a:p>
          </xdr:txBody>
        </xdr:sp>
        <xdr:sp macro="" textlink="">
          <xdr:nvSpPr>
            <xdr:cNvPr id="14" name="CaixaDeTexto 13">
              <a:extLst>
                <a:ext uri="{FF2B5EF4-FFF2-40B4-BE49-F238E27FC236}">
                  <a16:creationId xmlns:a16="http://schemas.microsoft.com/office/drawing/2014/main" id="{C75AA9FA-886A-463E-AAE1-11DFE3507337}"/>
                </a:ext>
              </a:extLst>
            </xdr:cNvPr>
            <xdr:cNvSpPr txBox="1"/>
          </xdr:nvSpPr>
          <xdr:spPr>
            <a:xfrm>
              <a:off x="2324100" y="3657600"/>
              <a:ext cx="2352674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o desvio positivo</a:t>
              </a: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foi de</a:t>
              </a:r>
            </a:p>
          </xdr:txBody>
        </xdr:sp>
        <xdr:sp macro="" textlink="'DB1'!M4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0F12D842-556D-410C-AF63-A0F075E6B054}"/>
                </a:ext>
              </a:extLst>
            </xdr:cNvPr>
            <xdr:cNvSpPr txBox="1"/>
          </xdr:nvSpPr>
          <xdr:spPr>
            <a:xfrm>
              <a:off x="4571999" y="3657600"/>
              <a:ext cx="752476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9F2F9D45-2E9E-4EAF-A74E-112C630E938C}" type="TxLink">
                <a:rPr lang="en-US" sz="1800" b="1" i="0" u="none" strike="noStrike">
                  <a:solidFill>
                    <a:srgbClr val="1D83D4"/>
                  </a:solidFill>
                  <a:latin typeface="Calibri"/>
                  <a:cs typeface="Calibri"/>
                </a:rPr>
                <a:pPr algn="ctr"/>
                <a:t>-89%</a:t>
              </a:fld>
              <a:endParaRPr lang="en-US" sz="3200" b="1">
                <a:solidFill>
                  <a:srgbClr val="1D83D4"/>
                </a:solidFill>
              </a:endParaRP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DE9003F6-D1F8-439E-8D31-5857A352FBD9}"/>
                </a:ext>
              </a:extLst>
            </xdr:cNvPr>
            <xdr:cNvSpPr txBox="1"/>
          </xdr:nvSpPr>
          <xdr:spPr>
            <a:xfrm>
              <a:off x="5210175" y="3648075"/>
              <a:ext cx="1390649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em relação</a:t>
              </a: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a</a:t>
              </a:r>
            </a:p>
          </xdr:txBody>
        </xdr:sp>
        <xdr:sp macro="" textlink="DateSystem!C19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C1D5268F-F8DF-455C-AC05-04FCCF992C4C}"/>
                </a:ext>
              </a:extLst>
            </xdr:cNvPr>
            <xdr:cNvSpPr txBox="1"/>
          </xdr:nvSpPr>
          <xdr:spPr>
            <a:xfrm>
              <a:off x="6448424" y="3657600"/>
              <a:ext cx="1175045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FA431D16-81B0-445C-9F92-AB27366C8795}" type="TxLink">
                <a:rPr lang="en-US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Janeiro</a:t>
              </a:fld>
              <a:endParaRPr lang="pt-BR" sz="3200" b="0"/>
            </a:p>
          </xdr:txBody>
        </xdr:sp>
        <xdr:sp macro="" textlink="">
          <xdr:nvSpPr>
            <xdr:cNvPr id="18" name="CaixaDeTexto 17">
              <a:extLst>
                <a:ext uri="{FF2B5EF4-FFF2-40B4-BE49-F238E27FC236}">
                  <a16:creationId xmlns:a16="http://schemas.microsoft.com/office/drawing/2014/main" id="{D71608F3-F04C-4515-9FC9-01AB88AE9A04}"/>
                </a:ext>
              </a:extLst>
            </xdr:cNvPr>
            <xdr:cNvSpPr txBox="1"/>
          </xdr:nvSpPr>
          <xdr:spPr>
            <a:xfrm>
              <a:off x="7508202" y="3657600"/>
              <a:ext cx="419099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de</a:t>
              </a:r>
              <a:endParaRPr lang="pt-BR" sz="1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sp macro="" textlink="DateSystem!D24">
          <xdr:nvSpPr>
            <xdr:cNvPr id="19" name="CaixaDeTexto 18">
              <a:extLst>
                <a:ext uri="{FF2B5EF4-FFF2-40B4-BE49-F238E27FC236}">
                  <a16:creationId xmlns:a16="http://schemas.microsoft.com/office/drawing/2014/main" id="{115450EB-37CA-4F43-B79D-D98FA2028B80}"/>
                </a:ext>
              </a:extLst>
            </xdr:cNvPr>
            <xdr:cNvSpPr txBox="1"/>
          </xdr:nvSpPr>
          <xdr:spPr>
            <a:xfrm>
              <a:off x="7825855" y="3648075"/>
              <a:ext cx="742949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F017C6AC-7AA9-4BB5-B84B-12380FAB723F}" type="TxLink">
                <a:rPr lang="en-US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l"/>
                <a:t>2022</a:t>
              </a:fld>
              <a:endParaRPr lang="en-US" sz="1800" b="1" i="0" u="none" strike="noStrike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</xdr:grpSp>
    </xdr:grpSp>
    <xdr:clientData/>
  </xdr:twoCellAnchor>
  <xdr:twoCellAnchor>
    <xdr:from>
      <xdr:col>15</xdr:col>
      <xdr:colOff>127000</xdr:colOff>
      <xdr:row>0</xdr:row>
      <xdr:rowOff>0</xdr:rowOff>
    </xdr:from>
    <xdr:to>
      <xdr:col>16</xdr:col>
      <xdr:colOff>595313</xdr:colOff>
      <xdr:row>3</xdr:row>
      <xdr:rowOff>161925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A5B645A1-9F81-20F5-7329-1C4DCF938C45}"/>
            </a:ext>
          </a:extLst>
        </xdr:cNvPr>
        <xdr:cNvGrpSpPr/>
      </xdr:nvGrpSpPr>
      <xdr:grpSpPr>
        <a:xfrm>
          <a:off x="9294813" y="0"/>
          <a:ext cx="1079500" cy="733425"/>
          <a:chOff x="11144250" y="0"/>
          <a:chExt cx="1079500" cy="733425"/>
        </a:xfrm>
      </xdr:grpSpPr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BD2659C8-A00C-40F8-81E4-49B27081B35E}"/>
              </a:ext>
            </a:extLst>
          </xdr:cNvPr>
          <xdr:cNvSpPr txBox="1"/>
        </xdr:nvSpPr>
        <xdr:spPr>
          <a:xfrm>
            <a:off x="11144250" y="0"/>
            <a:ext cx="1079500" cy="733425"/>
          </a:xfrm>
          <a:prstGeom prst="rect">
            <a:avLst/>
          </a:prstGeom>
          <a:solidFill>
            <a:schemeClr val="tx1"/>
          </a:solidFill>
          <a:ln w="19050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800" b="0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t>SEMANA</a:t>
            </a:r>
          </a:p>
        </xdr:txBody>
      </xdr:sp>
      <xdr:sp macro="" textlink="DateSystem!B14">
        <xdr:nvSpPr>
          <xdr:cNvPr id="23" name="CaixaDeTexto 22">
            <a:extLst>
              <a:ext uri="{FF2B5EF4-FFF2-40B4-BE49-F238E27FC236}">
                <a16:creationId xmlns:a16="http://schemas.microsoft.com/office/drawing/2014/main" id="{EAB97678-3407-4BD6-A201-509491EFDF1B}"/>
              </a:ext>
            </a:extLst>
          </xdr:cNvPr>
          <xdr:cNvSpPr txBox="1"/>
        </xdr:nvSpPr>
        <xdr:spPr>
          <a:xfrm>
            <a:off x="11477626" y="333375"/>
            <a:ext cx="420687" cy="371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18A8BF26-9D2B-4D67-9B1A-54BBD9DC893A}" type="TxLink">
              <a:rPr lang="en-US" sz="18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pPr/>
              <a:t>1</a:t>
            </a:fld>
            <a:endParaRPr lang="pt-BR" sz="3200" b="1" i="0" u="none" strike="noStrike" baseline="0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3</xdr:col>
      <xdr:colOff>381000</xdr:colOff>
      <xdr:row>21</xdr:row>
      <xdr:rowOff>128591</xdr:rowOff>
    </xdr:from>
    <xdr:to>
      <xdr:col>13</xdr:col>
      <xdr:colOff>466725</xdr:colOff>
      <xdr:row>26</xdr:row>
      <xdr:rowOff>14291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1BB4962E-2EEC-907A-1CE1-784A5F7C5055}"/>
            </a:ext>
          </a:extLst>
        </xdr:cNvPr>
        <xdr:cNvGrpSpPr/>
      </xdr:nvGrpSpPr>
      <xdr:grpSpPr>
        <a:xfrm>
          <a:off x="2214563" y="4129091"/>
          <a:ext cx="6197600" cy="838200"/>
          <a:chOff x="790575" y="3800475"/>
          <a:chExt cx="6181725" cy="838200"/>
        </a:xfrm>
      </xdr:grpSpPr>
      <xdr:grpSp>
        <xdr:nvGrpSpPr>
          <xdr:cNvPr id="38" name="Agrupar 37">
            <a:extLst>
              <a:ext uri="{FF2B5EF4-FFF2-40B4-BE49-F238E27FC236}">
                <a16:creationId xmlns:a16="http://schemas.microsoft.com/office/drawing/2014/main" id="{D1802720-14CD-5F48-6EAE-0A7FA147C13D}"/>
              </a:ext>
            </a:extLst>
          </xdr:cNvPr>
          <xdr:cNvGrpSpPr/>
        </xdr:nvGrpSpPr>
        <xdr:grpSpPr>
          <a:xfrm>
            <a:off x="790575" y="4171950"/>
            <a:ext cx="6181725" cy="466725"/>
            <a:chOff x="790575" y="4171950"/>
            <a:chExt cx="6181725" cy="466725"/>
          </a:xfrm>
        </xdr:grpSpPr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4E2B293C-30C7-4201-8FAD-5D4AA5C8287E}"/>
                </a:ext>
              </a:extLst>
            </xdr:cNvPr>
            <xdr:cNvSpPr txBox="1"/>
          </xdr:nvSpPr>
          <xdr:spPr>
            <a:xfrm>
              <a:off x="790575" y="4191000"/>
              <a:ext cx="2809875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Faturamento acumulado de </a:t>
              </a:r>
              <a:endParaRPr lang="pt-BR" sz="1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sp macro="" textlink="DateSystem!B24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B2F6A639-F064-41ED-A735-8AAA3C036CDB}"/>
                </a:ext>
              </a:extLst>
            </xdr:cNvPr>
            <xdr:cNvSpPr txBox="1"/>
          </xdr:nvSpPr>
          <xdr:spPr>
            <a:xfrm>
              <a:off x="3495676" y="4181475"/>
              <a:ext cx="742949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4AD5B677-DC58-43D7-B1F1-E925D87BD68C}" type="TxLink">
                <a:rPr lang="en-US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l"/>
                <a:t>2023</a:t>
              </a:fld>
              <a:endParaRPr lang="en-US" sz="3200" b="1" i="0" u="none" strike="noStrike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BD3750B-A031-4DE0-AD69-71A2F26BBF17}"/>
                </a:ext>
              </a:extLst>
            </xdr:cNvPr>
            <xdr:cNvSpPr txBox="1"/>
          </xdr:nvSpPr>
          <xdr:spPr>
            <a:xfrm>
              <a:off x="3981450" y="4171950"/>
              <a:ext cx="228600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:</a:t>
              </a:r>
              <a:endParaRPr lang="pt-BR" sz="1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sp macro="" textlink="'DB1'!L10">
          <xdr:nvSpPr>
            <xdr:cNvPr id="31" name="CaixaDeTexto 30">
              <a:extLst>
                <a:ext uri="{FF2B5EF4-FFF2-40B4-BE49-F238E27FC236}">
                  <a16:creationId xmlns:a16="http://schemas.microsoft.com/office/drawing/2014/main" id="{6623D3AE-A903-48E5-90DA-3CCD495D010E}"/>
                </a:ext>
              </a:extLst>
            </xdr:cNvPr>
            <xdr:cNvSpPr txBox="1"/>
          </xdr:nvSpPr>
          <xdr:spPr>
            <a:xfrm>
              <a:off x="4162425" y="4181475"/>
              <a:ext cx="2809875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9F804AA0-C6F4-4CB9-AA91-370109938D13}" type="TxLink">
                <a:rPr lang="en-US" sz="1800" b="1" i="0" u="none" strike="noStrike" baseline="0">
                  <a:solidFill>
                    <a:srgbClr val="1D83D4"/>
                  </a:solidFill>
                  <a:latin typeface="Calibri"/>
                  <a:cs typeface="Calibri"/>
                </a:rPr>
                <a:pPr/>
                <a:t> R$ 474.934,00 </a:t>
              </a:fld>
              <a:endParaRPr lang="pt-BR" sz="4800" b="1" i="0" u="none" strike="noStrike" baseline="0">
                <a:solidFill>
                  <a:srgbClr val="1D83D4"/>
                </a:solidFill>
                <a:latin typeface="Calibri"/>
                <a:cs typeface="Calibri"/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0FB7EAFB-7A1B-468F-62FD-82261AE1499E}"/>
              </a:ext>
            </a:extLst>
          </xdr:cNvPr>
          <xdr:cNvGrpSpPr/>
        </xdr:nvGrpSpPr>
        <xdr:grpSpPr>
          <a:xfrm>
            <a:off x="800100" y="3800475"/>
            <a:ext cx="6172200" cy="457200"/>
            <a:chOff x="800100" y="3800475"/>
            <a:chExt cx="6172200" cy="457200"/>
          </a:xfrm>
        </xdr:grpSpPr>
        <xdr:grpSp>
          <xdr:nvGrpSpPr>
            <xdr:cNvPr id="32" name="Agrupar 31">
              <a:extLst>
                <a:ext uri="{FF2B5EF4-FFF2-40B4-BE49-F238E27FC236}">
                  <a16:creationId xmlns:a16="http://schemas.microsoft.com/office/drawing/2014/main" id="{2616B162-95F6-0456-91EB-327C4135A7E8}"/>
                </a:ext>
              </a:extLst>
            </xdr:cNvPr>
            <xdr:cNvGrpSpPr/>
          </xdr:nvGrpSpPr>
          <xdr:grpSpPr>
            <a:xfrm>
              <a:off x="800100" y="3800475"/>
              <a:ext cx="6172200" cy="457200"/>
              <a:chOff x="800100" y="3800475"/>
              <a:chExt cx="6172200" cy="457200"/>
            </a:xfrm>
          </xdr:grpSpPr>
          <xdr:sp macro="" textlink="DateSystem!D24">
            <xdr:nvSpPr>
              <xdr:cNvPr id="26" name="CaixaDeTexto 25">
                <a:extLst>
                  <a:ext uri="{FF2B5EF4-FFF2-40B4-BE49-F238E27FC236}">
                    <a16:creationId xmlns:a16="http://schemas.microsoft.com/office/drawing/2014/main" id="{135C0E03-B1C7-4A2B-8742-FAA257C47468}"/>
                  </a:ext>
                </a:extLst>
              </xdr:cNvPr>
              <xdr:cNvSpPr txBox="1"/>
            </xdr:nvSpPr>
            <xdr:spPr>
              <a:xfrm>
                <a:off x="3495676" y="3810000"/>
                <a:ext cx="723899" cy="4476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l"/>
                <a:fld id="{F017C6AC-7AA9-4BB5-B84B-12380FAB723F}" type="TxLink">
                  <a:rPr lang="en-US" sz="18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l"/>
                  <a:t>2022</a:t>
                </a:fld>
                <a:endParaRPr lang="en-US" sz="1800" b="1" i="0" u="none" strike="noStrike">
                  <a:solidFill>
                    <a:srgbClr val="000000"/>
                  </a:solidFill>
                  <a:latin typeface="Calibri"/>
                  <a:cs typeface="Calibri"/>
                </a:endParaRPr>
              </a:p>
            </xdr:txBody>
          </xdr:sp>
          <xdr:sp macro="" textlink="">
            <xdr:nvSpPr>
              <xdr:cNvPr id="24" name="CaixaDeTexto 23">
                <a:extLst>
                  <a:ext uri="{FF2B5EF4-FFF2-40B4-BE49-F238E27FC236}">
                    <a16:creationId xmlns:a16="http://schemas.microsoft.com/office/drawing/2014/main" id="{6A702C14-E02C-4932-9E6C-0ED85420E784}"/>
                  </a:ext>
                </a:extLst>
              </xdr:cNvPr>
              <xdr:cNvSpPr txBox="1"/>
            </xdr:nvSpPr>
            <xdr:spPr>
              <a:xfrm>
                <a:off x="800100" y="3800475"/>
                <a:ext cx="2809875" cy="4476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800" b="0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t>Faturamento acumulado de </a:t>
                </a:r>
                <a:endPara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endParaRPr>
              </a:p>
            </xdr:txBody>
          </xdr:sp>
          <xdr:sp macro="" textlink="'DB1'!L7">
            <xdr:nvSpPr>
              <xdr:cNvPr id="30" name="CaixaDeTexto 29">
                <a:extLst>
                  <a:ext uri="{FF2B5EF4-FFF2-40B4-BE49-F238E27FC236}">
                    <a16:creationId xmlns:a16="http://schemas.microsoft.com/office/drawing/2014/main" id="{066077D2-FA16-4D98-95F4-D23F79AC5373}"/>
                  </a:ext>
                </a:extLst>
              </xdr:cNvPr>
              <xdr:cNvSpPr txBox="1"/>
            </xdr:nvSpPr>
            <xdr:spPr>
              <a:xfrm>
                <a:off x="4162425" y="3800475"/>
                <a:ext cx="2809875" cy="4476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618A1571-2F4B-4994-BA41-F73DC3A2DB95}" type="TxLink">
                  <a:rPr lang="en-US" sz="18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pPr/>
                  <a:t> R$ 101.432.389,28 </a:t>
                </a:fld>
                <a:endParaRPr lang="pt-BR" sz="3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endParaRPr>
              </a:p>
            </xdr:txBody>
          </xdr:sp>
        </xdr:grp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90064A63-4F2F-443E-A12B-E111D3CF41CC}"/>
                </a:ext>
              </a:extLst>
            </xdr:cNvPr>
            <xdr:cNvSpPr txBox="1"/>
          </xdr:nvSpPr>
          <xdr:spPr>
            <a:xfrm>
              <a:off x="3990976" y="3800475"/>
              <a:ext cx="228600" cy="4476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BR" sz="18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t>:</a:t>
              </a:r>
              <a:endParaRPr lang="pt-BR" sz="1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</xdr:grp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 Barbosa Junior" refreshedDate="44930.329712962965" backgroundQuery="1" createdVersion="8" refreshedVersion="7" minRefreshableVersion="3" recordCount="1229" xr:uid="{686D49D4-5F0F-4FA4-9749-9045D5B896A8}">
  <cacheSource type="external" connectionId="1"/>
  <cacheFields count="11">
    <cacheField name="OS" numFmtId="0">
      <sharedItems containsSemiMixedTypes="0" containsString="0" containsNumber="1" containsInteger="1" minValue="1" maxValue="1179"/>
    </cacheField>
    <cacheField name="NF" numFmtId="0">
      <sharedItems containsString="0" containsBlank="1" containsNumber="1" containsInteger="1" minValue="2" maxValue="12073"/>
    </cacheField>
    <cacheField name="Valor Médio da OS" numFmtId="0">
      <sharedItems containsString="0" containsBlank="1" containsNumber="1" minValue="-1814297.8599999999" maxValue="1814297.8599999999"/>
    </cacheField>
    <cacheField name="Valor Orçado" numFmtId="0">
      <sharedItems containsString="0" containsBlank="1" containsNumber="1" minValue="0" maxValue="19885000"/>
    </cacheField>
    <cacheField name="Valor Restante a Faturar" numFmtId="0">
      <sharedItems containsString="0" containsBlank="1" containsNumber="1" minValue="0" maxValue="17985264"/>
    </cacheField>
    <cacheField name="Data de Emissão da NF" numFmtId="0">
      <sharedItems containsNonDate="0" containsDate="1" containsString="0" containsBlank="1" minDate="2022-01-18T00:00:00" maxDate="2023-01-04T00:00:00" count="152">
        <m/>
        <d v="2022-12-22T00:00:00"/>
        <d v="2022-12-23T00:00:00"/>
        <d v="2022-12-29T00:00:00"/>
        <d v="2022-12-21T00:00:00"/>
        <d v="2022-11-21T00:00:00"/>
        <d v="2022-11-23T00:00:00"/>
        <d v="2022-03-25T00:00:00"/>
        <d v="2022-01-26T00:00:00"/>
        <d v="2022-01-29T00:00:00"/>
        <d v="2022-01-31T00:00:00"/>
        <d v="2022-02-10T00:00:00"/>
        <d v="2022-02-17T00:00:00"/>
        <d v="2022-03-04T00:00:00"/>
        <d v="2022-03-11T00:00:00"/>
        <d v="2022-04-11T00:00:00"/>
        <d v="2022-04-22T00:00:00"/>
        <d v="2022-04-29T00:00:00"/>
        <d v="2022-01-18T00:00:00"/>
        <d v="2022-02-11T00:00:00"/>
        <d v="2022-02-14T00:00:00"/>
        <d v="2022-03-18T00:00:00"/>
        <d v="2022-04-07T00:00:00"/>
        <d v="2022-06-03T00:00:00"/>
        <d v="2022-06-23T00:00:00"/>
        <d v="2022-07-15T00:00:00"/>
        <d v="2022-08-02T00:00:00"/>
        <d v="2022-08-05T00:00:00"/>
        <d v="2022-08-24T00:00:00"/>
        <d v="2022-02-28T00:00:00"/>
        <d v="2022-04-19T00:00:00"/>
        <d v="2022-02-07T00:00:00"/>
        <d v="2022-04-12T00:00:00"/>
        <d v="2022-04-14T00:00:00"/>
        <d v="2022-04-27T00:00:00"/>
        <d v="2022-06-22T00:00:00"/>
        <d v="2022-10-06T00:00:00"/>
        <d v="2022-10-17T00:00:00"/>
        <d v="2022-10-31T00:00:00"/>
        <d v="2022-11-22T00:00:00"/>
        <d v="2022-03-07T00:00:00"/>
        <d v="2022-03-09T00:00:00"/>
        <d v="2022-01-24T00:00:00"/>
        <d v="2022-02-16T00:00:00"/>
        <d v="2022-02-21T00:00:00"/>
        <d v="2022-02-25T00:00:00"/>
        <d v="2022-12-27T00:00:00"/>
        <d v="2022-12-16T00:00:00"/>
        <d v="2022-11-07T00:00:00"/>
        <d v="2022-11-18T00:00:00"/>
        <d v="2022-12-12T00:00:00"/>
        <d v="2022-10-13T00:00:00"/>
        <d v="2022-10-25T00:00:00"/>
        <d v="2022-10-28T00:00:00"/>
        <d v="2022-09-21T00:00:00"/>
        <d v="2022-09-26T00:00:00"/>
        <d v="2022-10-11T00:00:00"/>
        <d v="2022-09-05T00:00:00"/>
        <d v="2022-09-13T00:00:00"/>
        <d v="2022-07-25T00:00:00"/>
        <d v="2022-08-03T00:00:00"/>
        <d v="2022-08-15T00:00:00"/>
        <d v="2022-08-18T00:00:00"/>
        <d v="2022-06-13T00:00:00"/>
        <d v="2022-06-21T00:00:00"/>
        <d v="2022-06-28T00:00:00"/>
        <d v="2022-06-29T00:00:00"/>
        <d v="2022-07-04T00:00:00"/>
        <d v="2022-07-12T00:00:00"/>
        <d v="2022-05-18T00:00:00"/>
        <d v="2022-05-19T00:00:00"/>
        <d v="2022-06-06T00:00:00"/>
        <d v="2022-03-28T00:00:00"/>
        <d v="2022-05-16T00:00:00"/>
        <d v="2022-03-08T00:00:00"/>
        <d v="2022-03-15T00:00:00"/>
        <d v="2022-03-21T00:00:00"/>
        <d v="2022-07-29T00:00:00"/>
        <d v="2022-08-16T00:00:00"/>
        <d v="2022-08-19T00:00:00"/>
        <d v="2022-04-28T00:00:00"/>
        <d v="2022-05-11T00:00:00"/>
        <d v="2022-11-11T00:00:00"/>
        <d v="2022-11-14T00:00:00"/>
        <d v="2022-11-17T00:00:00"/>
        <d v="2022-12-02T00:00:00"/>
        <d v="2022-12-07T00:00:00"/>
        <d v="2022-09-16T00:00:00"/>
        <d v="2022-09-27T00:00:00"/>
        <d v="2022-10-21T00:00:00"/>
        <d v="2022-12-06T00:00:00"/>
        <d v="2023-01-03T00:00:00"/>
        <d v="2022-05-05T00:00:00"/>
        <d v="2022-05-12T00:00:00"/>
        <d v="2022-05-20T00:00:00"/>
        <d v="2022-05-13T00:00:00"/>
        <d v="2022-05-17T00:00:00"/>
        <d v="2022-06-10T00:00:00"/>
        <d v="2022-05-26T00:00:00"/>
        <d v="2022-06-17T00:00:00"/>
        <d v="2022-05-31T00:00:00"/>
        <d v="2022-07-28T00:00:00"/>
        <d v="2022-07-06T00:00:00"/>
        <d v="2022-08-26T00:00:00"/>
        <d v="2022-10-27T00:00:00"/>
        <d v="2022-05-23T00:00:00"/>
        <d v="2022-07-05T00:00:00"/>
        <d v="2022-07-14T00:00:00"/>
        <d v="2022-07-19T00:00:00"/>
        <d v="2022-08-08T00:00:00"/>
        <d v="2022-05-06T00:00:00"/>
        <d v="2022-06-30T00:00:00"/>
        <d v="2022-08-11T00:00:00"/>
        <d v="2022-05-27T00:00:00"/>
        <d v="2022-06-08T00:00:00"/>
        <d v="2022-06-27T00:00:00"/>
        <d v="2022-09-23T00:00:00"/>
        <d v="2022-07-18T00:00:00"/>
        <d v="2022-07-22T00:00:00"/>
        <d v="2022-08-31T00:00:00"/>
        <d v="2022-09-02T00:00:00"/>
        <d v="2022-11-09T00:00:00"/>
        <d v="2022-05-25T00:00:00"/>
        <d v="2022-06-15T00:00:00"/>
        <d v="2022-11-08T00:00:00"/>
        <d v="2022-04-04T00:00:00"/>
        <d v="2022-11-25T00:00:00"/>
        <d v="2022-11-28T00:00:00"/>
        <d v="2022-12-05T00:00:00"/>
        <d v="2022-08-17T00:00:00"/>
        <d v="2022-08-01T00:00:00"/>
        <d v="2022-08-12T00:00:00"/>
        <d v="2022-09-20T00:00:00"/>
        <d v="2022-09-06T00:00:00"/>
        <d v="2022-10-05T00:00:00"/>
        <d v="2022-10-14T00:00:00"/>
        <d v="2022-09-12T00:00:00"/>
        <d v="2022-08-10T00:00:00"/>
        <d v="2022-09-28T00:00:00"/>
        <d v="2022-09-22T00:00:00"/>
        <d v="2022-09-30T00:00:00"/>
        <d v="2022-11-16T00:00:00"/>
        <d v="2022-05-30T00:00:00"/>
        <d v="2022-07-13T00:00:00"/>
        <d v="2022-11-30T00:00:00"/>
        <d v="2022-12-15T00:00:00"/>
        <d v="2022-07-11T00:00:00"/>
        <d v="2022-09-29T00:00:00"/>
        <d v="2022-10-18T00:00:00"/>
        <d v="2022-11-24T00:00:00"/>
        <d v="2022-12-17T00:00:00"/>
        <d v="2022-10-24T00:00:00"/>
      </sharedItems>
      <fieldGroup par="10" base="5">
        <rangePr groupBy="months" startDate="2022-01-18T00:00:00" endDate="2023-01-04T00:00:00"/>
        <groupItems count="14">
          <s v="(vazio)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1/2023"/>
        </groupItems>
      </fieldGroup>
    </cacheField>
    <cacheField name="Semana de Emissão da NF" numFmtId="0">
      <sharedItems containsString="0" containsBlank="1" containsNumber="1" containsInteger="1" minValue="1" maxValue="53"/>
    </cacheField>
    <cacheField name="Cliente" numFmtId="0">
      <sharedItems containsBlank="1"/>
    </cacheField>
    <cacheField name="Carteirista" numFmtId="0">
      <sharedItems containsBlank="1" count="9">
        <m/>
        <s v="LEONARDO SILVA DELPENHO"/>
        <s v="JOSE OSCAR DA SILVA"/>
        <s v="CARLOS DEODATO MACIEL"/>
        <s v="KENNEDY ALBERTO ALVES"/>
        <s v="CARLOS ANJOS DE OLIVEIRA"/>
        <s v="JEIDISON MARQUEZ"/>
        <s v="EDUARDO SPALENZA CASER"/>
        <s v="IARA SPERANDIO"/>
      </sharedItems>
    </cacheField>
    <cacheField name="Gestor(a) de Contratos" numFmtId="0">
      <sharedItems containsBlank="1" count="4">
        <m/>
        <s v="IARA SPERANDIO"/>
        <s v="LUCIANA BELMIRA FELIX DOS SANTOS SOARES"/>
        <s v="EDUARDO SPALENZA CASER"/>
      </sharedItems>
    </cacheField>
    <cacheField name="Anos" numFmtId="0" databaseField="0">
      <fieldGroup base="5">
        <rangePr groupBy="years" startDate="2022-01-18T00:00:00" endDate="2023-01-04T00:00:00"/>
        <groupItems count="4">
          <s v="&lt;18/01/2022"/>
          <s v="2022"/>
          <s v="2023"/>
          <s v="&gt;04/01/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29">
  <r>
    <n v="1"/>
    <m/>
    <m/>
    <m/>
    <m/>
    <x v="0"/>
    <m/>
    <m/>
    <x v="0"/>
    <x v="0"/>
  </r>
  <r>
    <n v="10"/>
    <m/>
    <m/>
    <n v="83488.41"/>
    <n v="83488.41"/>
    <x v="0"/>
    <m/>
    <s v="TECHNIP AÇÚ-RJ"/>
    <x v="0"/>
    <x v="0"/>
  </r>
  <r>
    <n v="100"/>
    <m/>
    <m/>
    <n v="30139.200000000001"/>
    <n v="30139.200000000001"/>
    <x v="0"/>
    <m/>
    <s v="VOITH PAPER MAQUINAS E EQUIPAMENTOS LTDA"/>
    <x v="0"/>
    <x v="0"/>
  </r>
  <r>
    <n v="1000"/>
    <m/>
    <m/>
    <n v="48573.95"/>
    <n v="48573.95"/>
    <x v="0"/>
    <m/>
    <s v="TECHNIP AÇÚ-RJ"/>
    <x v="0"/>
    <x v="0"/>
  </r>
  <r>
    <n v="1001"/>
    <m/>
    <m/>
    <n v="48573.95"/>
    <n v="48573.95"/>
    <x v="0"/>
    <m/>
    <s v="TECHNIP AÇÚ-RJ"/>
    <x v="0"/>
    <x v="0"/>
  </r>
  <r>
    <n v="1002"/>
    <m/>
    <m/>
    <n v="48573.95"/>
    <n v="48573.95"/>
    <x v="0"/>
    <m/>
    <s v="TECHNIP AÇÚ-RJ"/>
    <x v="0"/>
    <x v="0"/>
  </r>
  <r>
    <n v="1003"/>
    <m/>
    <m/>
    <n v="48573.95"/>
    <n v="48573.95"/>
    <x v="0"/>
    <m/>
    <s v="TECHNIP AÇÚ-RJ"/>
    <x v="0"/>
    <x v="0"/>
  </r>
  <r>
    <n v="1004"/>
    <m/>
    <m/>
    <n v="48573.95"/>
    <n v="48573.95"/>
    <x v="0"/>
    <m/>
    <s v="TECHNIP AÇÚ-RJ"/>
    <x v="0"/>
    <x v="0"/>
  </r>
  <r>
    <n v="1005"/>
    <m/>
    <m/>
    <n v="48573.95"/>
    <n v="48573.95"/>
    <x v="0"/>
    <m/>
    <s v="TECHNIP AÇÚ-RJ"/>
    <x v="0"/>
    <x v="0"/>
  </r>
  <r>
    <n v="1006"/>
    <m/>
    <m/>
    <n v="48573.95"/>
    <n v="48573.95"/>
    <x v="0"/>
    <m/>
    <s v="TECHNIP AÇÚ-RJ"/>
    <x v="0"/>
    <x v="0"/>
  </r>
  <r>
    <n v="1007"/>
    <m/>
    <m/>
    <n v="48573.95"/>
    <n v="48573.95"/>
    <x v="0"/>
    <m/>
    <s v="TECHNIP AÇÚ-RJ"/>
    <x v="0"/>
    <x v="0"/>
  </r>
  <r>
    <n v="1008"/>
    <m/>
    <m/>
    <n v="48573.95"/>
    <n v="48573.95"/>
    <x v="0"/>
    <m/>
    <s v="TECHNIP AÇÚ-RJ"/>
    <x v="0"/>
    <x v="0"/>
  </r>
  <r>
    <n v="1009"/>
    <m/>
    <m/>
    <n v="87853.5"/>
    <n v="87853.5"/>
    <x v="0"/>
    <m/>
    <s v="BHGE - GE"/>
    <x v="0"/>
    <x v="0"/>
  </r>
  <r>
    <n v="101"/>
    <m/>
    <m/>
    <n v="40185.599999999999"/>
    <n v="40185.599999999999"/>
    <x v="0"/>
    <m/>
    <s v="VOITH PAPER MAQUINAS E EQUIPAMENTOS LTDA"/>
    <x v="0"/>
    <x v="0"/>
  </r>
  <r>
    <n v="1010"/>
    <m/>
    <m/>
    <n v="149238.48000000001"/>
    <n v="149238.48000000001"/>
    <x v="0"/>
    <m/>
    <s v="BHGE - GE"/>
    <x v="0"/>
    <x v="0"/>
  </r>
  <r>
    <n v="1011"/>
    <m/>
    <m/>
    <n v="87853.5"/>
    <n v="87853.5"/>
    <x v="0"/>
    <m/>
    <s v="BHGE - GE"/>
    <x v="0"/>
    <x v="0"/>
  </r>
  <r>
    <n v="1012"/>
    <m/>
    <m/>
    <n v="149238.48000000001"/>
    <n v="149238.48000000001"/>
    <x v="0"/>
    <m/>
    <s v="BHGE - GE"/>
    <x v="0"/>
    <x v="0"/>
  </r>
  <r>
    <n v="1013"/>
    <m/>
    <m/>
    <n v="87853.5"/>
    <n v="87853.5"/>
    <x v="0"/>
    <m/>
    <s v="BHGE - GE"/>
    <x v="0"/>
    <x v="0"/>
  </r>
  <r>
    <n v="1014"/>
    <m/>
    <m/>
    <n v="149238.48000000001"/>
    <n v="149238.48000000001"/>
    <x v="0"/>
    <m/>
    <s v="BHGE - GE"/>
    <x v="0"/>
    <x v="0"/>
  </r>
  <r>
    <n v="1015"/>
    <m/>
    <m/>
    <n v="87853.5"/>
    <n v="87853.5"/>
    <x v="0"/>
    <m/>
    <s v="BHGE - GE"/>
    <x v="0"/>
    <x v="0"/>
  </r>
  <r>
    <n v="1016"/>
    <m/>
    <m/>
    <n v="87853.5"/>
    <n v="87853.5"/>
    <x v="0"/>
    <m/>
    <s v="BHGE - GE"/>
    <x v="0"/>
    <x v="0"/>
  </r>
  <r>
    <n v="1017"/>
    <n v="352"/>
    <n v="95278.68"/>
    <n v="87853.5"/>
    <n v="0"/>
    <x v="1"/>
    <n v="52"/>
    <s v="BHGE - GE"/>
    <x v="0"/>
    <x v="0"/>
  </r>
  <r>
    <n v="1018"/>
    <m/>
    <m/>
    <n v="149238.48000000001"/>
    <n v="149238.48000000001"/>
    <x v="0"/>
    <m/>
    <s v="BHGE - GE"/>
    <x v="0"/>
    <x v="0"/>
  </r>
  <r>
    <n v="1019"/>
    <m/>
    <m/>
    <n v="87853.51"/>
    <n v="87853.51"/>
    <x v="0"/>
    <m/>
    <s v="BHGE - GE"/>
    <x v="0"/>
    <x v="0"/>
  </r>
  <r>
    <n v="1020"/>
    <m/>
    <m/>
    <n v="87853.51"/>
    <n v="87853.51"/>
    <x v="0"/>
    <m/>
    <s v="BHGE - GE"/>
    <x v="0"/>
    <x v="0"/>
  </r>
  <r>
    <n v="1021"/>
    <m/>
    <m/>
    <n v="22963.599999999999"/>
    <n v="22963.599999999999"/>
    <x v="0"/>
    <m/>
    <s v="BHGE - GE"/>
    <x v="0"/>
    <x v="0"/>
  </r>
  <r>
    <n v="1022"/>
    <m/>
    <m/>
    <n v="22963.599999999999"/>
    <n v="22963.599999999999"/>
    <x v="0"/>
    <m/>
    <s v="BHGE - GE"/>
    <x v="0"/>
    <x v="0"/>
  </r>
  <r>
    <n v="1023"/>
    <m/>
    <m/>
    <n v="28570.79"/>
    <n v="28570.79"/>
    <x v="0"/>
    <m/>
    <s v="BHGE - GE"/>
    <x v="0"/>
    <x v="0"/>
  </r>
  <r>
    <n v="1024"/>
    <m/>
    <m/>
    <n v="529504.5"/>
    <n v="529504.5"/>
    <x v="0"/>
    <m/>
    <s v="BHGE - GE"/>
    <x v="0"/>
    <x v="0"/>
  </r>
  <r>
    <n v="1025"/>
    <m/>
    <m/>
    <n v="529504.5"/>
    <n v="529504.5"/>
    <x v="0"/>
    <m/>
    <s v="BHGE - GE"/>
    <x v="0"/>
    <x v="0"/>
  </r>
  <r>
    <n v="1026"/>
    <m/>
    <m/>
    <n v="529504.5"/>
    <n v="529504.5"/>
    <x v="0"/>
    <m/>
    <s v="BHGE - GE"/>
    <x v="0"/>
    <x v="0"/>
  </r>
  <r>
    <n v="1027"/>
    <m/>
    <m/>
    <n v="529504.5"/>
    <n v="529504.5"/>
    <x v="0"/>
    <m/>
    <s v="BHGE - GE"/>
    <x v="0"/>
    <x v="0"/>
  </r>
  <r>
    <n v="1028"/>
    <n v="12055"/>
    <n v="153485.25"/>
    <n v="161159.51"/>
    <n v="7674.26"/>
    <x v="2"/>
    <n v="52"/>
    <s v="BHGE - GE"/>
    <x v="0"/>
    <x v="0"/>
  </r>
  <r>
    <n v="1029"/>
    <n v="12055"/>
    <n v="153485.25"/>
    <n v="161159.51"/>
    <n v="7674.26"/>
    <x v="2"/>
    <n v="52"/>
    <s v="BHGE - GE"/>
    <x v="0"/>
    <x v="0"/>
  </r>
  <r>
    <n v="1030"/>
    <n v="12055"/>
    <n v="153485.25"/>
    <n v="161159.51"/>
    <n v="7674.26"/>
    <x v="2"/>
    <n v="52"/>
    <s v="BHGE - GE"/>
    <x v="0"/>
    <x v="0"/>
  </r>
  <r>
    <n v="1031"/>
    <n v="12055"/>
    <n v="153485.25"/>
    <n v="161159.51"/>
    <n v="7674.26"/>
    <x v="2"/>
    <n v="52"/>
    <s v="BHGE - GE"/>
    <x v="0"/>
    <x v="0"/>
  </r>
  <r>
    <n v="1032"/>
    <m/>
    <m/>
    <n v="87853.51"/>
    <n v="87853.51"/>
    <x v="0"/>
    <m/>
    <s v="BHGE - GE"/>
    <x v="0"/>
    <x v="0"/>
  </r>
  <r>
    <n v="1033"/>
    <m/>
    <m/>
    <n v="87853.51"/>
    <n v="87853.51"/>
    <x v="0"/>
    <m/>
    <s v="BHGE - GE"/>
    <x v="0"/>
    <x v="0"/>
  </r>
  <r>
    <n v="1034"/>
    <m/>
    <m/>
    <n v="149238.48000000001"/>
    <n v="149238.48000000001"/>
    <x v="0"/>
    <m/>
    <s v="BHGE - GE"/>
    <x v="0"/>
    <x v="0"/>
  </r>
  <r>
    <n v="1035"/>
    <m/>
    <m/>
    <n v="175707.02"/>
    <n v="175707.02"/>
    <x v="0"/>
    <m/>
    <s v="BHGE - GE"/>
    <x v="0"/>
    <x v="0"/>
  </r>
  <r>
    <n v="1036"/>
    <m/>
    <m/>
    <n v="298476.96999999997"/>
    <n v="298476.96999999997"/>
    <x v="0"/>
    <m/>
    <s v="BHGE - GE"/>
    <x v="0"/>
    <x v="0"/>
  </r>
  <r>
    <n v="1037"/>
    <m/>
    <m/>
    <n v="87853.51"/>
    <n v="87853.51"/>
    <x v="0"/>
    <m/>
    <s v="BHGE - GE"/>
    <x v="0"/>
    <x v="0"/>
  </r>
  <r>
    <n v="1038"/>
    <m/>
    <m/>
    <n v="149238.48000000001"/>
    <n v="149238.48000000001"/>
    <x v="0"/>
    <m/>
    <s v="BHGE - GE"/>
    <x v="0"/>
    <x v="0"/>
  </r>
  <r>
    <n v="1039"/>
    <m/>
    <m/>
    <n v="87853.51"/>
    <n v="87853.51"/>
    <x v="0"/>
    <m/>
    <s v="BHGE - GE"/>
    <x v="0"/>
    <x v="0"/>
  </r>
  <r>
    <n v="1040"/>
    <m/>
    <m/>
    <n v="149238.48000000001"/>
    <n v="149238.48000000001"/>
    <x v="0"/>
    <m/>
    <s v="BHGE - GE"/>
    <x v="0"/>
    <x v="0"/>
  </r>
  <r>
    <n v="1041"/>
    <m/>
    <m/>
    <n v="87853.51"/>
    <n v="87853.51"/>
    <x v="0"/>
    <m/>
    <s v="BHGE - GE"/>
    <x v="0"/>
    <x v="0"/>
  </r>
  <r>
    <n v="1042"/>
    <m/>
    <m/>
    <n v="149238.48000000001"/>
    <n v="149238.48000000001"/>
    <x v="0"/>
    <m/>
    <s v="BHGE - GE"/>
    <x v="0"/>
    <x v="0"/>
  </r>
  <r>
    <n v="1043"/>
    <m/>
    <m/>
    <n v="87853.51"/>
    <n v="87853.51"/>
    <x v="0"/>
    <m/>
    <s v="BHGE - GE"/>
    <x v="0"/>
    <x v="0"/>
  </r>
  <r>
    <n v="1044"/>
    <m/>
    <m/>
    <n v="149238.48000000001"/>
    <n v="149238.48000000001"/>
    <x v="0"/>
    <m/>
    <s v="BHGE - GE"/>
    <x v="0"/>
    <x v="0"/>
  </r>
  <r>
    <n v="1045"/>
    <m/>
    <m/>
    <n v="119142.53"/>
    <n v="119142.53"/>
    <x v="0"/>
    <m/>
    <s v="BHGE - GE"/>
    <x v="0"/>
    <x v="0"/>
  </r>
  <r>
    <n v="1046"/>
    <m/>
    <m/>
    <n v="370854.83"/>
    <n v="370854.83"/>
    <x v="0"/>
    <m/>
    <s v="BHGE - GE"/>
    <x v="0"/>
    <x v="0"/>
  </r>
  <r>
    <n v="1047"/>
    <m/>
    <m/>
    <n v="106250.68"/>
    <n v="106250.68"/>
    <x v="0"/>
    <m/>
    <s v="TECHNIP AÇÚ-RJ"/>
    <x v="0"/>
    <x v="0"/>
  </r>
  <r>
    <n v="1048"/>
    <m/>
    <m/>
    <n v="49600.61"/>
    <n v="49600.61"/>
    <x v="0"/>
    <m/>
    <s v="TECHNIP AÇÚ-RJ"/>
    <x v="0"/>
    <x v="0"/>
  </r>
  <r>
    <n v="1049"/>
    <m/>
    <m/>
    <n v="49600.61"/>
    <n v="49600.61"/>
    <x v="0"/>
    <m/>
    <s v="TECHNIP AÇÚ-RJ"/>
    <x v="0"/>
    <x v="0"/>
  </r>
  <r>
    <n v="1050"/>
    <m/>
    <m/>
    <n v="49600.61"/>
    <n v="49600.61"/>
    <x v="0"/>
    <m/>
    <s v="TECHNIP AÇÚ-RJ"/>
    <x v="0"/>
    <x v="0"/>
  </r>
  <r>
    <n v="1051"/>
    <m/>
    <m/>
    <n v="48625.72"/>
    <n v="48625.72"/>
    <x v="0"/>
    <m/>
    <s v="TECHNIP AÇÚ-RJ"/>
    <x v="0"/>
    <x v="0"/>
  </r>
  <r>
    <n v="1052"/>
    <m/>
    <m/>
    <n v="112396.33"/>
    <n v="112396.33"/>
    <x v="0"/>
    <m/>
    <s v="TECHNIP AÇÚ-RJ"/>
    <x v="0"/>
    <x v="0"/>
  </r>
  <r>
    <n v="1053"/>
    <m/>
    <m/>
    <n v="112396.33"/>
    <n v="112396.33"/>
    <x v="0"/>
    <m/>
    <s v="TECHNIP AÇÚ-RJ"/>
    <x v="0"/>
    <x v="0"/>
  </r>
  <r>
    <n v="1054"/>
    <m/>
    <m/>
    <n v="112396.33"/>
    <n v="112396.33"/>
    <x v="0"/>
    <m/>
    <s v="TECHNIP AÇÚ-RJ"/>
    <x v="0"/>
    <x v="0"/>
  </r>
  <r>
    <n v="1055"/>
    <m/>
    <m/>
    <n v="106250.68"/>
    <n v="106250.68"/>
    <x v="0"/>
    <m/>
    <s v="TECHNIP AÇÚ-RJ"/>
    <x v="0"/>
    <x v="0"/>
  </r>
  <r>
    <n v="1056"/>
    <m/>
    <m/>
    <n v="49600.61"/>
    <n v="49600.61"/>
    <x v="0"/>
    <m/>
    <s v="TECHNIP AÇÚ-RJ"/>
    <x v="0"/>
    <x v="0"/>
  </r>
  <r>
    <n v="1057"/>
    <m/>
    <m/>
    <n v="49600.61"/>
    <n v="49600.61"/>
    <x v="0"/>
    <m/>
    <s v="TECHNIP AÇÚ-RJ"/>
    <x v="0"/>
    <x v="0"/>
  </r>
  <r>
    <n v="1058"/>
    <m/>
    <m/>
    <n v="49600.61"/>
    <n v="49600.61"/>
    <x v="0"/>
    <m/>
    <s v="TECHNIP AÇÚ-RJ"/>
    <x v="0"/>
    <x v="0"/>
  </r>
  <r>
    <n v="1059"/>
    <m/>
    <m/>
    <n v="48625.72"/>
    <n v="48625.72"/>
    <x v="0"/>
    <m/>
    <s v="TECHNIP AÇÚ-RJ"/>
    <x v="0"/>
    <x v="0"/>
  </r>
  <r>
    <n v="1060"/>
    <m/>
    <m/>
    <n v="112396.33"/>
    <n v="112396.33"/>
    <x v="0"/>
    <m/>
    <s v="TECHNIP AÇÚ-RJ"/>
    <x v="0"/>
    <x v="0"/>
  </r>
  <r>
    <n v="1061"/>
    <m/>
    <m/>
    <n v="112396.33"/>
    <n v="112396.33"/>
    <x v="0"/>
    <m/>
    <s v="TECHNIP AÇÚ-RJ"/>
    <x v="0"/>
    <x v="0"/>
  </r>
  <r>
    <n v="1062"/>
    <m/>
    <m/>
    <n v="112396.33"/>
    <n v="112396.33"/>
    <x v="0"/>
    <m/>
    <s v="TECHNIP AÇÚ-RJ"/>
    <x v="0"/>
    <x v="0"/>
  </r>
  <r>
    <n v="1063"/>
    <m/>
    <m/>
    <n v="446878.48"/>
    <n v="446878.48"/>
    <x v="0"/>
    <m/>
    <s v="BHGE - GE"/>
    <x v="0"/>
    <x v="0"/>
  </r>
  <r>
    <n v="1064"/>
    <m/>
    <m/>
    <n v="222936.58"/>
    <n v="222936.58"/>
    <x v="0"/>
    <m/>
    <s v="BHGE - GE"/>
    <x v="0"/>
    <x v="0"/>
  </r>
  <r>
    <n v="1065"/>
    <m/>
    <m/>
    <n v="446878.48"/>
    <n v="446878.48"/>
    <x v="0"/>
    <m/>
    <s v="BHGE - GE"/>
    <x v="0"/>
    <x v="0"/>
  </r>
  <r>
    <n v="1066"/>
    <m/>
    <m/>
    <n v="222936.58"/>
    <n v="222936.58"/>
    <x v="0"/>
    <m/>
    <s v="BHGE - GE"/>
    <x v="0"/>
    <x v="0"/>
  </r>
  <r>
    <n v="1067"/>
    <m/>
    <m/>
    <n v="446878.48"/>
    <n v="446878.48"/>
    <x v="0"/>
    <m/>
    <s v="BHGE - GE"/>
    <x v="0"/>
    <x v="0"/>
  </r>
  <r>
    <n v="1068"/>
    <m/>
    <m/>
    <n v="222936.58"/>
    <n v="222936.58"/>
    <x v="0"/>
    <m/>
    <s v="BHGE - GE"/>
    <x v="0"/>
    <x v="0"/>
  </r>
  <r>
    <n v="1069"/>
    <m/>
    <m/>
    <n v="446878.48"/>
    <n v="446878.48"/>
    <x v="0"/>
    <m/>
    <s v="BHGE - GE"/>
    <x v="0"/>
    <x v="0"/>
  </r>
  <r>
    <n v="1070"/>
    <m/>
    <m/>
    <n v="445873.16"/>
    <n v="445873.16"/>
    <x v="0"/>
    <m/>
    <s v="BHGE - GE"/>
    <x v="0"/>
    <x v="0"/>
  </r>
  <r>
    <n v="1071"/>
    <n v="12068"/>
    <n v="124647.32"/>
    <n v="124647.32"/>
    <n v="0"/>
    <x v="3"/>
    <n v="53"/>
    <s v="TECHNIP AÇÚ-RJ"/>
    <x v="0"/>
    <x v="0"/>
  </r>
  <r>
    <n v="1072"/>
    <m/>
    <m/>
    <n v="29386.75"/>
    <n v="29386.75"/>
    <x v="0"/>
    <m/>
    <s v="INDUSTRIA E COMERCIO METALURGICA BROMBERG LTD"/>
    <x v="0"/>
    <x v="0"/>
  </r>
  <r>
    <n v="1073"/>
    <m/>
    <m/>
    <n v="79031.55"/>
    <n v="79031.55"/>
    <x v="0"/>
    <m/>
    <s v="BHGE - GE"/>
    <x v="0"/>
    <x v="0"/>
  </r>
  <r>
    <n v="1074"/>
    <m/>
    <m/>
    <n v="79031.55"/>
    <n v="79031.55"/>
    <x v="0"/>
    <m/>
    <s v="BHGE - GE"/>
    <x v="0"/>
    <x v="0"/>
  </r>
  <r>
    <n v="1075"/>
    <m/>
    <m/>
    <n v="158063.09"/>
    <n v="158063.09"/>
    <x v="0"/>
    <m/>
    <s v="BHGE - GE"/>
    <x v="0"/>
    <x v="0"/>
  </r>
  <r>
    <n v="1076"/>
    <m/>
    <m/>
    <n v="79031.55"/>
    <n v="79031.55"/>
    <x v="0"/>
    <m/>
    <s v="BHGE - GE"/>
    <x v="0"/>
    <x v="0"/>
  </r>
  <r>
    <n v="1077"/>
    <n v="350"/>
    <n v="48791.8"/>
    <n v="15943.32"/>
    <n v="0"/>
    <x v="1"/>
    <n v="52"/>
    <s v="USIESP USINAGENS ESPECIAIS LTDA"/>
    <x v="0"/>
    <x v="0"/>
  </r>
  <r>
    <n v="1078"/>
    <m/>
    <m/>
    <n v="4692.6400000000003"/>
    <n v="4692.6400000000003"/>
    <x v="0"/>
    <m/>
    <s v="USIESP USINAGENS ESPECIAIS LTDA"/>
    <x v="0"/>
    <x v="0"/>
  </r>
  <r>
    <n v="1079"/>
    <m/>
    <m/>
    <n v="4692.6400000000003"/>
    <n v="4692.6400000000003"/>
    <x v="0"/>
    <m/>
    <s v="USIESP USINAGENS ESPECIAIS LTDA"/>
    <x v="0"/>
    <x v="0"/>
  </r>
  <r>
    <n v="1080"/>
    <m/>
    <m/>
    <n v="4692.6400000000003"/>
    <n v="4692.6400000000003"/>
    <x v="0"/>
    <m/>
    <s v="USIESP USINAGENS ESPECIAIS LTDA"/>
    <x v="0"/>
    <x v="0"/>
  </r>
  <r>
    <n v="1081"/>
    <m/>
    <m/>
    <n v="4692.6400000000003"/>
    <n v="4692.6400000000003"/>
    <x v="0"/>
    <m/>
    <s v="USIESP USINAGENS ESPECIAIS LTDA"/>
    <x v="0"/>
    <x v="0"/>
  </r>
  <r>
    <n v="1082"/>
    <m/>
    <m/>
    <n v="4692.6400000000003"/>
    <n v="4692.6400000000003"/>
    <x v="0"/>
    <m/>
    <s v="USIESP USINAGENS ESPECIAIS LTDA"/>
    <x v="0"/>
    <x v="0"/>
  </r>
  <r>
    <n v="1083"/>
    <m/>
    <m/>
    <n v="4692.6400000000003"/>
    <n v="4692.6400000000003"/>
    <x v="0"/>
    <m/>
    <s v="USIESP USINAGENS ESPECIAIS LTDA"/>
    <x v="0"/>
    <x v="0"/>
  </r>
  <r>
    <n v="1084"/>
    <m/>
    <m/>
    <n v="4692.6400000000003"/>
    <n v="4692.6400000000003"/>
    <x v="0"/>
    <m/>
    <s v="USIESP USINAGENS ESPECIAIS LTDA"/>
    <x v="0"/>
    <x v="0"/>
  </r>
  <r>
    <n v="1085"/>
    <n v="351"/>
    <n v="63773.279999999999"/>
    <n v="15943.32"/>
    <n v="0"/>
    <x v="1"/>
    <n v="52"/>
    <s v="USIESP USINAGENS ESPECIAIS LTDA"/>
    <x v="0"/>
    <x v="0"/>
  </r>
  <r>
    <n v="1086"/>
    <m/>
    <m/>
    <n v="15943.32"/>
    <n v="15943.32"/>
    <x v="0"/>
    <m/>
    <s v="USIESP USINAGENS ESPECIAIS LTDA"/>
    <x v="0"/>
    <x v="0"/>
  </r>
  <r>
    <n v="1087"/>
    <m/>
    <m/>
    <n v="15943.32"/>
    <n v="15943.32"/>
    <x v="0"/>
    <m/>
    <s v="USIESP USINAGENS ESPECIAIS LTDA"/>
    <x v="0"/>
    <x v="0"/>
  </r>
  <r>
    <n v="1088"/>
    <m/>
    <m/>
    <n v="15943.32"/>
    <n v="15943.32"/>
    <x v="0"/>
    <m/>
    <s v="USIESP USINAGENS ESPECIAIS LTDA"/>
    <x v="0"/>
    <x v="0"/>
  </r>
  <r>
    <n v="1089"/>
    <m/>
    <m/>
    <n v="2669.89"/>
    <n v="2669.89"/>
    <x v="0"/>
    <m/>
    <s v="METSO OUTOTEC BRASIL INDÚSTRIA E COMÉRCIO LTD"/>
    <x v="0"/>
    <x v="0"/>
  </r>
  <r>
    <n v="109"/>
    <m/>
    <m/>
    <n v="38760.5"/>
    <n v="38760.5"/>
    <x v="0"/>
    <m/>
    <s v="PRYSMIAN - VILA VELHA "/>
    <x v="0"/>
    <x v="0"/>
  </r>
  <r>
    <n v="1090"/>
    <n v="12048"/>
    <n v="2669.89"/>
    <n v="2669.89"/>
    <n v="0"/>
    <x v="4"/>
    <n v="52"/>
    <s v="METSO OUTOTEC BRASIL INDÚSTRIA E COMÉRCIO LTD"/>
    <x v="0"/>
    <x v="0"/>
  </r>
  <r>
    <n v="1091"/>
    <m/>
    <m/>
    <n v="213065.56"/>
    <n v="213065.56"/>
    <x v="0"/>
    <m/>
    <s v="BHGE - GE"/>
    <x v="0"/>
    <x v="0"/>
  </r>
  <r>
    <n v="1092"/>
    <m/>
    <m/>
    <n v="27738.68"/>
    <n v="27738.68"/>
    <x v="0"/>
    <m/>
    <s v="BHGE - GE"/>
    <x v="0"/>
    <x v="0"/>
  </r>
  <r>
    <n v="1093"/>
    <m/>
    <m/>
    <n v="27738.68"/>
    <n v="27738.68"/>
    <x v="0"/>
    <m/>
    <s v="BHGE - GE"/>
    <x v="0"/>
    <x v="0"/>
  </r>
  <r>
    <n v="1094"/>
    <m/>
    <m/>
    <n v="177445.45"/>
    <n v="177445.45"/>
    <x v="0"/>
    <m/>
    <s v="BHGE - GE"/>
    <x v="0"/>
    <x v="0"/>
  </r>
  <r>
    <n v="1095"/>
    <m/>
    <m/>
    <n v="177445.45"/>
    <n v="177445.45"/>
    <x v="0"/>
    <m/>
    <s v="BHGE - GE"/>
    <x v="0"/>
    <x v="0"/>
  </r>
  <r>
    <n v="1096"/>
    <m/>
    <m/>
    <n v="18744.580000000002"/>
    <n v="18744.580000000002"/>
    <x v="0"/>
    <m/>
    <s v="METSO OUTOTEC BRASIL INDÚSTRIA E COMÉRCIO LTD"/>
    <x v="0"/>
    <x v="0"/>
  </r>
  <r>
    <n v="1097"/>
    <m/>
    <m/>
    <n v="37286.32"/>
    <n v="37286.32"/>
    <x v="0"/>
    <m/>
    <s v="TECHNIP AÇÚ-RJ"/>
    <x v="0"/>
    <x v="0"/>
  </r>
  <r>
    <n v="1098"/>
    <m/>
    <m/>
    <n v="37286.32"/>
    <n v="37286.32"/>
    <x v="0"/>
    <m/>
    <s v="TECHNIP AÇÚ-RJ"/>
    <x v="0"/>
    <x v="0"/>
  </r>
  <r>
    <n v="1099"/>
    <m/>
    <m/>
    <n v="37286.32"/>
    <n v="37286.32"/>
    <x v="0"/>
    <m/>
    <s v="TECHNIP AÇÚ-RJ"/>
    <x v="0"/>
    <x v="0"/>
  </r>
  <r>
    <n v="11"/>
    <m/>
    <m/>
    <n v="27705.620000000003"/>
    <n v="27705.620000000003"/>
    <x v="0"/>
    <m/>
    <s v="TECHNIP VITÓRIA-ES"/>
    <x v="0"/>
    <x v="0"/>
  </r>
  <r>
    <n v="1100"/>
    <m/>
    <m/>
    <n v="37286.32"/>
    <n v="37286.32"/>
    <x v="0"/>
    <m/>
    <s v="TECHNIP AÇÚ-RJ"/>
    <x v="0"/>
    <x v="0"/>
  </r>
  <r>
    <n v="1101"/>
    <m/>
    <m/>
    <n v="37286.32"/>
    <n v="37286.32"/>
    <x v="0"/>
    <m/>
    <s v="TECHNIP AÇÚ-RJ"/>
    <x v="0"/>
    <x v="0"/>
  </r>
  <r>
    <n v="1102"/>
    <m/>
    <m/>
    <n v="37286.32"/>
    <n v="37286.32"/>
    <x v="0"/>
    <m/>
    <s v="TECHNIP AÇÚ-RJ"/>
    <x v="0"/>
    <x v="0"/>
  </r>
  <r>
    <n v="1103"/>
    <m/>
    <m/>
    <n v="37286.32"/>
    <n v="37286.32"/>
    <x v="0"/>
    <m/>
    <s v="TECHNIP AÇÚ-RJ"/>
    <x v="0"/>
    <x v="0"/>
  </r>
  <r>
    <n v="1104"/>
    <m/>
    <m/>
    <n v="37286.32"/>
    <n v="37286.32"/>
    <x v="0"/>
    <m/>
    <s v="TECHNIP AÇÚ-RJ"/>
    <x v="0"/>
    <x v="0"/>
  </r>
  <r>
    <n v="1105"/>
    <m/>
    <m/>
    <n v="37286.32"/>
    <n v="37286.32"/>
    <x v="0"/>
    <m/>
    <s v="TECHNIP AÇÚ-RJ"/>
    <x v="0"/>
    <x v="0"/>
  </r>
  <r>
    <n v="1106"/>
    <m/>
    <m/>
    <n v="37286.32"/>
    <n v="37286.32"/>
    <x v="0"/>
    <m/>
    <s v="TECHNIP AÇÚ-RJ"/>
    <x v="0"/>
    <x v="0"/>
  </r>
  <r>
    <n v="1107"/>
    <m/>
    <m/>
    <n v="37286.32"/>
    <n v="37286.32"/>
    <x v="0"/>
    <m/>
    <s v="TECHNIP AÇÚ-RJ"/>
    <x v="0"/>
    <x v="0"/>
  </r>
  <r>
    <n v="1108"/>
    <m/>
    <m/>
    <n v="37286.32"/>
    <n v="37286.32"/>
    <x v="0"/>
    <m/>
    <s v="TECHNIP AÇÚ-RJ"/>
    <x v="0"/>
    <x v="0"/>
  </r>
  <r>
    <n v="1109"/>
    <m/>
    <m/>
    <n v="37286.32"/>
    <n v="37286.32"/>
    <x v="0"/>
    <m/>
    <s v="TECHNIP AÇÚ-RJ"/>
    <x v="0"/>
    <x v="0"/>
  </r>
  <r>
    <n v="1110"/>
    <m/>
    <m/>
    <n v="37286.32"/>
    <n v="37286.32"/>
    <x v="0"/>
    <m/>
    <s v="TECHNIP AÇÚ-RJ"/>
    <x v="0"/>
    <x v="0"/>
  </r>
  <r>
    <n v="1111"/>
    <m/>
    <m/>
    <n v="37286.32"/>
    <n v="37286.32"/>
    <x v="0"/>
    <m/>
    <s v="TECHNIP AÇÚ-RJ"/>
    <x v="0"/>
    <x v="0"/>
  </r>
  <r>
    <n v="1112"/>
    <m/>
    <m/>
    <n v="37286.32"/>
    <n v="37286.32"/>
    <x v="0"/>
    <m/>
    <s v="TECHNIP AÇÚ-RJ"/>
    <x v="0"/>
    <x v="0"/>
  </r>
  <r>
    <n v="1113"/>
    <m/>
    <m/>
    <n v="37286.32"/>
    <n v="37286.32"/>
    <x v="0"/>
    <m/>
    <s v="TECHNIP AÇÚ-RJ"/>
    <x v="0"/>
    <x v="0"/>
  </r>
  <r>
    <n v="1114"/>
    <m/>
    <m/>
    <n v="37286.32"/>
    <n v="37286.32"/>
    <x v="0"/>
    <m/>
    <s v="TECHNIP AÇÚ-RJ"/>
    <x v="0"/>
    <x v="0"/>
  </r>
  <r>
    <n v="1115"/>
    <m/>
    <m/>
    <n v="109581.28"/>
    <n v="109581.28"/>
    <x v="0"/>
    <m/>
    <s v="TECHNIP AÇÚ-RJ"/>
    <x v="0"/>
    <x v="0"/>
  </r>
  <r>
    <n v="1116"/>
    <m/>
    <m/>
    <n v="239809.96"/>
    <n v="239809.96"/>
    <x v="0"/>
    <m/>
    <s v="FLSMIDTH LTDA."/>
    <x v="0"/>
    <x v="0"/>
  </r>
  <r>
    <n v="1117"/>
    <m/>
    <m/>
    <n v="4537.08"/>
    <n v="4537.08"/>
    <x v="0"/>
    <m/>
    <s v="USIESP USINAGENS ESPECIAIS LTDA"/>
    <x v="0"/>
    <x v="0"/>
  </r>
  <r>
    <n v="1118"/>
    <m/>
    <m/>
    <n v="4537.08"/>
    <n v="4537.08"/>
    <x v="0"/>
    <m/>
    <s v="USIESP USINAGENS ESPECIAIS LTDA"/>
    <x v="0"/>
    <x v="0"/>
  </r>
  <r>
    <n v="1119"/>
    <m/>
    <m/>
    <n v="4537.08"/>
    <n v="4537.08"/>
    <x v="0"/>
    <m/>
    <s v="USIESP USINAGENS ESPECIAIS LTDA"/>
    <x v="0"/>
    <x v="0"/>
  </r>
  <r>
    <n v="1120"/>
    <m/>
    <m/>
    <n v="4537.08"/>
    <n v="4537.08"/>
    <x v="0"/>
    <m/>
    <s v="USIESP USINAGENS ESPECIAIS LTDA"/>
    <x v="0"/>
    <x v="0"/>
  </r>
  <r>
    <n v="1121"/>
    <m/>
    <m/>
    <n v="4537.08"/>
    <n v="4537.08"/>
    <x v="0"/>
    <m/>
    <s v="USIESP USINAGENS ESPECIAIS LTDA"/>
    <x v="0"/>
    <x v="0"/>
  </r>
  <r>
    <n v="1122"/>
    <m/>
    <m/>
    <n v="4537.08"/>
    <n v="4537.08"/>
    <x v="0"/>
    <m/>
    <s v="USIESP USINAGENS ESPECIAIS LTDA"/>
    <x v="0"/>
    <x v="0"/>
  </r>
  <r>
    <n v="1123"/>
    <m/>
    <m/>
    <n v="4537.08"/>
    <n v="4537.08"/>
    <x v="0"/>
    <m/>
    <s v="USIESP USINAGENS ESPECIAIS LTDA"/>
    <x v="0"/>
    <x v="0"/>
  </r>
  <r>
    <n v="1124"/>
    <m/>
    <m/>
    <n v="4537.08"/>
    <n v="4537.08"/>
    <x v="0"/>
    <m/>
    <s v="USIESP USINAGENS ESPECIAIS LTDA"/>
    <x v="0"/>
    <x v="0"/>
  </r>
  <r>
    <n v="1125"/>
    <m/>
    <m/>
    <n v="4537.08"/>
    <n v="4537.08"/>
    <x v="0"/>
    <m/>
    <s v="USIESP USINAGENS ESPECIAIS LTDA"/>
    <x v="0"/>
    <x v="0"/>
  </r>
  <r>
    <n v="1126"/>
    <m/>
    <m/>
    <n v="4537.08"/>
    <n v="4537.08"/>
    <x v="0"/>
    <m/>
    <s v="USIESP USINAGENS ESPECIAIS LTDA"/>
    <x v="0"/>
    <x v="0"/>
  </r>
  <r>
    <n v="1127"/>
    <m/>
    <m/>
    <n v="4537.08"/>
    <n v="4537.08"/>
    <x v="0"/>
    <m/>
    <s v="USIESP USINAGENS ESPECIAIS LTDA"/>
    <x v="0"/>
    <x v="0"/>
  </r>
  <r>
    <n v="1128"/>
    <m/>
    <m/>
    <n v="4537.08"/>
    <n v="4537.08"/>
    <x v="0"/>
    <m/>
    <s v="USIESP USINAGENS ESPECIAIS LTDA"/>
    <x v="0"/>
    <x v="0"/>
  </r>
  <r>
    <n v="1129"/>
    <m/>
    <m/>
    <n v="4537.08"/>
    <n v="4537.08"/>
    <x v="0"/>
    <m/>
    <s v="USIESP USINAGENS ESPECIAIS LTDA"/>
    <x v="0"/>
    <x v="0"/>
  </r>
  <r>
    <n v="1130"/>
    <m/>
    <m/>
    <n v="4537.08"/>
    <n v="4537.08"/>
    <x v="0"/>
    <m/>
    <s v="USIESP USINAGENS ESPECIAIS LTDA"/>
    <x v="0"/>
    <x v="0"/>
  </r>
  <r>
    <n v="1131"/>
    <m/>
    <m/>
    <n v="4537.08"/>
    <n v="4537.08"/>
    <x v="0"/>
    <m/>
    <s v="USIESP USINAGENS ESPECIAIS LTDA"/>
    <x v="0"/>
    <x v="0"/>
  </r>
  <r>
    <n v="1132"/>
    <m/>
    <m/>
    <n v="4537.08"/>
    <n v="4537.08"/>
    <x v="0"/>
    <m/>
    <s v="USIESP USINAGENS ESPECIAIS LTDA"/>
    <x v="0"/>
    <x v="0"/>
  </r>
  <r>
    <n v="1133"/>
    <m/>
    <m/>
    <n v="4537.08"/>
    <n v="4537.08"/>
    <x v="0"/>
    <m/>
    <s v="USIESP USINAGENS ESPECIAIS LTDA"/>
    <x v="0"/>
    <x v="0"/>
  </r>
  <r>
    <n v="1134"/>
    <m/>
    <m/>
    <n v="4537.08"/>
    <n v="4537.08"/>
    <x v="0"/>
    <m/>
    <s v="USIESP USINAGENS ESPECIAIS LTDA"/>
    <x v="0"/>
    <x v="0"/>
  </r>
  <r>
    <n v="1135"/>
    <m/>
    <m/>
    <n v="4537.08"/>
    <n v="4537.08"/>
    <x v="0"/>
    <m/>
    <s v="USIESP USINAGENS ESPECIAIS LTDA"/>
    <x v="0"/>
    <x v="0"/>
  </r>
  <r>
    <n v="1136"/>
    <m/>
    <m/>
    <n v="4537.08"/>
    <n v="4537.08"/>
    <x v="0"/>
    <m/>
    <s v="USIESP USINAGENS ESPECIAIS LTDA"/>
    <x v="0"/>
    <x v="0"/>
  </r>
  <r>
    <n v="1137"/>
    <m/>
    <m/>
    <n v="4537.08"/>
    <n v="4537.08"/>
    <x v="0"/>
    <m/>
    <s v="USIESP USINAGENS ESPECIAIS LTDA"/>
    <x v="0"/>
    <x v="0"/>
  </r>
  <r>
    <n v="1138"/>
    <m/>
    <m/>
    <n v="78328.240000000005"/>
    <n v="78328.240000000005"/>
    <x v="0"/>
    <m/>
    <s v="INDUSTRIA E COMERCIO METALURGICA BROMBERG LTD"/>
    <x v="0"/>
    <x v="0"/>
  </r>
  <r>
    <n v="1139"/>
    <m/>
    <m/>
    <n v="20142.5"/>
    <n v="20142.5"/>
    <x v="0"/>
    <m/>
    <s v="INDUSTRIA E COMERCIO METALURGICA BROMBERG LTD"/>
    <x v="0"/>
    <x v="0"/>
  </r>
  <r>
    <n v="1140"/>
    <m/>
    <m/>
    <n v="3285000"/>
    <n v="3285000"/>
    <x v="0"/>
    <m/>
    <s v="METALVIX "/>
    <x v="0"/>
    <x v="0"/>
  </r>
  <r>
    <n v="1141"/>
    <m/>
    <m/>
    <n v="6840000"/>
    <n v="6840000"/>
    <x v="0"/>
    <m/>
    <s v="METALVIX "/>
    <x v="0"/>
    <x v="0"/>
  </r>
  <r>
    <n v="1142"/>
    <m/>
    <m/>
    <n v="9074.16"/>
    <n v="9074.16"/>
    <x v="0"/>
    <m/>
    <s v="USIESP USINAGENS ESPECIAIS LTDA"/>
    <x v="0"/>
    <x v="0"/>
  </r>
  <r>
    <n v="1143"/>
    <m/>
    <m/>
    <n v="134406.89000000001"/>
    <n v="134406.89000000001"/>
    <x v="0"/>
    <m/>
    <s v="TECHNIP AÇÚ-RJ"/>
    <x v="0"/>
    <x v="0"/>
  </r>
  <r>
    <n v="1144"/>
    <m/>
    <m/>
    <n v="69951.490000000005"/>
    <n v="69951.490000000005"/>
    <x v="0"/>
    <m/>
    <s v="TECHNIP AÇÚ-RJ"/>
    <x v="0"/>
    <x v="0"/>
  </r>
  <r>
    <n v="1145"/>
    <m/>
    <m/>
    <n v="69951.490000000005"/>
    <n v="69951.490000000005"/>
    <x v="0"/>
    <m/>
    <s v="TECHNIP AÇÚ-RJ"/>
    <x v="0"/>
    <x v="0"/>
  </r>
  <r>
    <n v="1146"/>
    <m/>
    <m/>
    <n v="69951.490000000005"/>
    <n v="69951.490000000005"/>
    <x v="0"/>
    <m/>
    <s v="TECHNIP AÇÚ-RJ"/>
    <x v="0"/>
    <x v="0"/>
  </r>
  <r>
    <n v="1147"/>
    <m/>
    <m/>
    <n v="69951.490000000005"/>
    <n v="69951.490000000005"/>
    <x v="0"/>
    <m/>
    <s v="TECHNIP AÇÚ-RJ"/>
    <x v="0"/>
    <x v="0"/>
  </r>
  <r>
    <n v="1148"/>
    <m/>
    <m/>
    <n v="69951.490000000005"/>
    <n v="69951.490000000005"/>
    <x v="0"/>
    <m/>
    <s v="TECHNIP AÇÚ-RJ"/>
    <x v="0"/>
    <x v="0"/>
  </r>
  <r>
    <n v="1149"/>
    <m/>
    <m/>
    <n v="69951.490000000005"/>
    <n v="69951.490000000005"/>
    <x v="0"/>
    <m/>
    <s v="TECHNIP AÇÚ-RJ"/>
    <x v="0"/>
    <x v="0"/>
  </r>
  <r>
    <n v="1150"/>
    <m/>
    <m/>
    <n v="69951.490000000005"/>
    <n v="69951.490000000005"/>
    <x v="0"/>
    <m/>
    <s v="TECHNIP AÇÚ-RJ"/>
    <x v="0"/>
    <x v="0"/>
  </r>
  <r>
    <n v="1151"/>
    <m/>
    <m/>
    <n v="69951.490000000005"/>
    <n v="69951.490000000005"/>
    <x v="0"/>
    <m/>
    <s v="TECHNIP AÇÚ-RJ"/>
    <x v="0"/>
    <x v="0"/>
  </r>
  <r>
    <n v="1152"/>
    <m/>
    <m/>
    <n v="69951.490000000005"/>
    <n v="69951.490000000005"/>
    <x v="0"/>
    <m/>
    <s v="TECHNIP AÇÚ-RJ"/>
    <x v="0"/>
    <x v="0"/>
  </r>
  <r>
    <n v="1153"/>
    <m/>
    <m/>
    <n v="69951.490000000005"/>
    <n v="69951.490000000005"/>
    <x v="0"/>
    <m/>
    <s v="TECHNIP AÇÚ-RJ"/>
    <x v="0"/>
    <x v="0"/>
  </r>
  <r>
    <n v="1154"/>
    <m/>
    <m/>
    <n v="69951.490000000005"/>
    <n v="69951.490000000005"/>
    <x v="0"/>
    <m/>
    <s v="TECHNIP AÇÚ-RJ"/>
    <x v="0"/>
    <x v="0"/>
  </r>
  <r>
    <n v="1155"/>
    <m/>
    <m/>
    <n v="69951.490000000005"/>
    <n v="69951.490000000005"/>
    <x v="0"/>
    <m/>
    <s v="TECHNIP AÇÚ-RJ"/>
    <x v="0"/>
    <x v="0"/>
  </r>
  <r>
    <n v="1156"/>
    <m/>
    <m/>
    <n v="69951.490000000005"/>
    <n v="69951.490000000005"/>
    <x v="0"/>
    <m/>
    <s v="TECHNIP AÇÚ-RJ"/>
    <x v="0"/>
    <x v="0"/>
  </r>
  <r>
    <n v="1157"/>
    <m/>
    <m/>
    <n v="69951.490000000005"/>
    <n v="69951.490000000005"/>
    <x v="0"/>
    <m/>
    <s v="TECHNIP AÇÚ-RJ"/>
    <x v="0"/>
    <x v="0"/>
  </r>
  <r>
    <n v="1158"/>
    <m/>
    <m/>
    <n v="69951.490000000005"/>
    <n v="69951.490000000005"/>
    <x v="0"/>
    <m/>
    <s v="TECHNIP AÇÚ-RJ"/>
    <x v="0"/>
    <x v="0"/>
  </r>
  <r>
    <n v="1159"/>
    <m/>
    <m/>
    <m/>
    <m/>
    <x v="0"/>
    <m/>
    <m/>
    <x v="0"/>
    <x v="0"/>
  </r>
  <r>
    <n v="1160"/>
    <m/>
    <m/>
    <m/>
    <m/>
    <x v="0"/>
    <m/>
    <m/>
    <x v="0"/>
    <x v="0"/>
  </r>
  <r>
    <n v="1161"/>
    <m/>
    <m/>
    <n v="38538.85"/>
    <n v="38538.85"/>
    <x v="0"/>
    <m/>
    <s v="TECHNIP AÇÚ-RJ"/>
    <x v="0"/>
    <x v="0"/>
  </r>
  <r>
    <n v="1162"/>
    <m/>
    <m/>
    <n v="38538.85"/>
    <n v="38538.85"/>
    <x v="0"/>
    <m/>
    <s v="TECHNIP AÇÚ-RJ"/>
    <x v="0"/>
    <x v="0"/>
  </r>
  <r>
    <n v="1163"/>
    <m/>
    <m/>
    <n v="38538.85"/>
    <n v="38538.85"/>
    <x v="0"/>
    <m/>
    <s v="TECHNIP AÇÚ-RJ"/>
    <x v="0"/>
    <x v="0"/>
  </r>
  <r>
    <n v="1164"/>
    <m/>
    <m/>
    <n v="38538.85"/>
    <n v="38538.85"/>
    <x v="0"/>
    <m/>
    <s v="TECHNIP AÇÚ-RJ"/>
    <x v="0"/>
    <x v="0"/>
  </r>
  <r>
    <n v="1165"/>
    <m/>
    <m/>
    <n v="137634.57999999999"/>
    <n v="137634.57999999999"/>
    <x v="0"/>
    <m/>
    <s v="BHGE - GE"/>
    <x v="0"/>
    <x v="0"/>
  </r>
  <r>
    <n v="1166"/>
    <m/>
    <m/>
    <n v="137634.57999999999"/>
    <n v="137634.57999999999"/>
    <x v="0"/>
    <m/>
    <s v="BHGE - GE"/>
    <x v="0"/>
    <x v="0"/>
  </r>
  <r>
    <n v="1167"/>
    <m/>
    <m/>
    <n v="137634.57999999999"/>
    <n v="137634.57999999999"/>
    <x v="0"/>
    <m/>
    <s v="BHGE - GE"/>
    <x v="0"/>
    <x v="0"/>
  </r>
  <r>
    <n v="1168"/>
    <m/>
    <m/>
    <n v="137634.57999999999"/>
    <n v="137634.57999999999"/>
    <x v="0"/>
    <m/>
    <s v="BHGE - GE"/>
    <x v="0"/>
    <x v="0"/>
  </r>
  <r>
    <n v="1169"/>
    <m/>
    <m/>
    <n v="96156.49"/>
    <n v="96156.49"/>
    <x v="0"/>
    <m/>
    <s v="BHGE - GE"/>
    <x v="0"/>
    <x v="0"/>
  </r>
  <r>
    <n v="1170"/>
    <m/>
    <m/>
    <n v="96156.49"/>
    <n v="96156.49"/>
    <x v="0"/>
    <m/>
    <s v="BHGE - GE"/>
    <x v="0"/>
    <x v="0"/>
  </r>
  <r>
    <n v="1171"/>
    <m/>
    <m/>
    <n v="96156.49"/>
    <n v="96156.49"/>
    <x v="0"/>
    <m/>
    <s v="BHGE - GE"/>
    <x v="0"/>
    <x v="0"/>
  </r>
  <r>
    <n v="1172"/>
    <m/>
    <m/>
    <n v="96156.49"/>
    <n v="96156.49"/>
    <x v="0"/>
    <m/>
    <s v="BHGE - GE"/>
    <x v="0"/>
    <x v="0"/>
  </r>
  <r>
    <n v="1173"/>
    <m/>
    <m/>
    <n v="69951.490000000005"/>
    <n v="69951.490000000005"/>
    <x v="0"/>
    <m/>
    <s v="TECHNIP AÇÚ-RJ"/>
    <x v="0"/>
    <x v="0"/>
  </r>
  <r>
    <n v="1174"/>
    <m/>
    <m/>
    <n v="69951.490000000005"/>
    <n v="69951.490000000005"/>
    <x v="0"/>
    <m/>
    <s v="TECHNIP AÇÚ-RJ"/>
    <x v="0"/>
    <x v="0"/>
  </r>
  <r>
    <n v="1175"/>
    <m/>
    <m/>
    <n v="69951.490000000005"/>
    <n v="69951.490000000005"/>
    <x v="0"/>
    <m/>
    <s v="TECHNIP AÇÚ-RJ"/>
    <x v="0"/>
    <x v="0"/>
  </r>
  <r>
    <n v="1176"/>
    <m/>
    <m/>
    <n v="3456725.3"/>
    <n v="3456725.3"/>
    <x v="0"/>
    <m/>
    <s v="CSP"/>
    <x v="0"/>
    <x v="0"/>
  </r>
  <r>
    <n v="1177"/>
    <m/>
    <m/>
    <n v="5185087.96"/>
    <n v="5185087.96"/>
    <x v="0"/>
    <m/>
    <s v="CSP"/>
    <x v="0"/>
    <x v="0"/>
  </r>
  <r>
    <n v="1178"/>
    <m/>
    <m/>
    <n v="171084.85"/>
    <n v="171084.85"/>
    <x v="0"/>
    <m/>
    <s v="BHGE - GE"/>
    <x v="0"/>
    <x v="0"/>
  </r>
  <r>
    <n v="1179"/>
    <m/>
    <m/>
    <n v="145055.84"/>
    <n v="145055.84"/>
    <x v="0"/>
    <m/>
    <s v="BHGE - GE"/>
    <x v="0"/>
    <x v="0"/>
  </r>
  <r>
    <n v="12"/>
    <m/>
    <m/>
    <n v="27705.620000000003"/>
    <n v="27705.620000000003"/>
    <x v="0"/>
    <m/>
    <s v="TECHNIP VITÓRIA-ES"/>
    <x v="0"/>
    <x v="0"/>
  </r>
  <r>
    <n v="121"/>
    <m/>
    <m/>
    <n v="83629.33"/>
    <n v="83629.33"/>
    <x v="0"/>
    <m/>
    <s v="VOITH PAPER MAQUINAS E EQUIPAMENTOS LTDA"/>
    <x v="0"/>
    <x v="0"/>
  </r>
  <r>
    <n v="123"/>
    <m/>
    <m/>
    <n v="136786.63"/>
    <n v="136786.63"/>
    <x v="0"/>
    <m/>
    <s v="TECHNIP AÇÚ-RJ"/>
    <x v="0"/>
    <x v="0"/>
  </r>
  <r>
    <n v="124"/>
    <m/>
    <m/>
    <n v="47335.32"/>
    <n v="47335.32"/>
    <x v="0"/>
    <m/>
    <s v="USIESP USINAGENS ESPECIAIS LTDA"/>
    <x v="0"/>
    <x v="0"/>
  </r>
  <r>
    <n v="125"/>
    <m/>
    <m/>
    <n v="90813.45"/>
    <n v="90813.45"/>
    <x v="0"/>
    <m/>
    <s v="USIESP USINAGENS ESPECIAIS LTDA"/>
    <x v="0"/>
    <x v="0"/>
  </r>
  <r>
    <n v="126"/>
    <m/>
    <m/>
    <n v="177117.83"/>
    <n v="177117.83"/>
    <x v="0"/>
    <m/>
    <s v="TECHNIP MACAÉ-RJ"/>
    <x v="0"/>
    <x v="0"/>
  </r>
  <r>
    <n v="127"/>
    <m/>
    <m/>
    <n v="47335.32"/>
    <n v="47335.32"/>
    <x v="0"/>
    <m/>
    <s v="USIESP USINAGENS ESPECIAIS LTDA"/>
    <x v="0"/>
    <x v="0"/>
  </r>
  <r>
    <n v="128"/>
    <m/>
    <m/>
    <n v="142706.85"/>
    <n v="142706.85"/>
    <x v="0"/>
    <m/>
    <s v="USIESP USINAGENS ESPECIAIS LTDA"/>
    <x v="0"/>
    <x v="0"/>
  </r>
  <r>
    <n v="129"/>
    <m/>
    <m/>
    <n v="86256.430000000008"/>
    <n v="86256.430000000008"/>
    <x v="0"/>
    <m/>
    <s v="BHGE - GE"/>
    <x v="0"/>
    <x v="0"/>
  </r>
  <r>
    <n v="13"/>
    <m/>
    <m/>
    <n v="34580.86"/>
    <n v="34580.86"/>
    <x v="0"/>
    <m/>
    <s v="TECHNIP VITÓRIA-ES"/>
    <x v="0"/>
    <x v="0"/>
  </r>
  <r>
    <n v="130"/>
    <m/>
    <m/>
    <n v="251687.39"/>
    <n v="251687.39"/>
    <x v="0"/>
    <m/>
    <s v="TECHNIP AÇÚ-RJ"/>
    <x v="0"/>
    <x v="0"/>
  </r>
  <r>
    <n v="131"/>
    <m/>
    <m/>
    <n v="125843.70000000001"/>
    <n v="125843.70000000001"/>
    <x v="0"/>
    <m/>
    <s v="TECHNIP AÇÚ-RJ"/>
    <x v="0"/>
    <x v="0"/>
  </r>
  <r>
    <n v="134"/>
    <m/>
    <m/>
    <n v="84193.22"/>
    <n v="84193.22"/>
    <x v="0"/>
    <m/>
    <s v="BHGE - GE"/>
    <x v="0"/>
    <x v="0"/>
  </r>
  <r>
    <n v="135"/>
    <m/>
    <m/>
    <n v="12027.6"/>
    <n v="12027.6"/>
    <x v="0"/>
    <m/>
    <s v="BHGE - GE"/>
    <x v="0"/>
    <x v="0"/>
  </r>
  <r>
    <n v="136"/>
    <m/>
    <m/>
    <n v="12027.6"/>
    <n v="12027.6"/>
    <x v="0"/>
    <m/>
    <s v="BHGE - GE"/>
    <x v="0"/>
    <x v="0"/>
  </r>
  <r>
    <n v="137"/>
    <m/>
    <m/>
    <n v="12027.6"/>
    <n v="12027.6"/>
    <x v="0"/>
    <m/>
    <s v="BHGE - GE"/>
    <x v="0"/>
    <x v="0"/>
  </r>
  <r>
    <n v="138"/>
    <m/>
    <m/>
    <n v="12027.6"/>
    <n v="12027.6"/>
    <x v="0"/>
    <m/>
    <s v="BHGE - GE"/>
    <x v="0"/>
    <x v="0"/>
  </r>
  <r>
    <n v="139"/>
    <m/>
    <m/>
    <n v="12027.6"/>
    <n v="12027.6"/>
    <x v="0"/>
    <m/>
    <s v="BHGE - GE"/>
    <x v="0"/>
    <x v="0"/>
  </r>
  <r>
    <n v="14"/>
    <m/>
    <m/>
    <n v="34580.86"/>
    <n v="34580.86"/>
    <x v="0"/>
    <m/>
    <s v="TECHNIP VITÓRIA-ES"/>
    <x v="0"/>
    <x v="0"/>
  </r>
  <r>
    <n v="140"/>
    <m/>
    <m/>
    <n v="12027.6"/>
    <n v="12027.6"/>
    <x v="0"/>
    <m/>
    <s v="BHGE - GE"/>
    <x v="0"/>
    <x v="0"/>
  </r>
  <r>
    <n v="141"/>
    <m/>
    <m/>
    <n v="128411.88"/>
    <n v="128411.88"/>
    <x v="0"/>
    <m/>
    <s v="TECHNIP AÇÚ-RJ"/>
    <x v="0"/>
    <x v="0"/>
  </r>
  <r>
    <n v="144"/>
    <m/>
    <m/>
    <n v="120745.5"/>
    <n v="120745.5"/>
    <x v="0"/>
    <m/>
    <s v="TECHNIP VITÓRIA-ES"/>
    <x v="0"/>
    <x v="0"/>
  </r>
  <r>
    <n v="145"/>
    <m/>
    <m/>
    <n v="120745.5"/>
    <n v="120745.5"/>
    <x v="0"/>
    <m/>
    <s v="TECHNIP VITÓRIA-ES"/>
    <x v="0"/>
    <x v="0"/>
  </r>
  <r>
    <n v="146"/>
    <m/>
    <m/>
    <n v="120745.5"/>
    <n v="120745.5"/>
    <x v="0"/>
    <m/>
    <s v="TECHNIP VITÓRIA-ES"/>
    <x v="0"/>
    <x v="0"/>
  </r>
  <r>
    <n v="147"/>
    <m/>
    <m/>
    <n v="120745.56"/>
    <n v="120745.56"/>
    <x v="0"/>
    <m/>
    <s v="TECHNIP VITÓRIA-ES"/>
    <x v="0"/>
    <x v="0"/>
  </r>
  <r>
    <n v="148"/>
    <m/>
    <m/>
    <n v="12027.6"/>
    <n v="12027.6"/>
    <x v="0"/>
    <m/>
    <s v="BHGE - GE"/>
    <x v="0"/>
    <x v="0"/>
  </r>
  <r>
    <n v="149"/>
    <m/>
    <m/>
    <n v="12027.6"/>
    <n v="12027.6"/>
    <x v="0"/>
    <m/>
    <s v="BHGE - GE"/>
    <x v="0"/>
    <x v="0"/>
  </r>
  <r>
    <n v="15"/>
    <m/>
    <m/>
    <n v="34580.86"/>
    <n v="34580.86"/>
    <x v="0"/>
    <m/>
    <s v="TECHNIP VITÓRIA-ES"/>
    <x v="0"/>
    <x v="0"/>
  </r>
  <r>
    <n v="150"/>
    <m/>
    <m/>
    <n v="5600"/>
    <n v="5600"/>
    <x v="0"/>
    <m/>
    <s v="RID"/>
    <x v="0"/>
    <x v="0"/>
  </r>
  <r>
    <n v="151"/>
    <m/>
    <m/>
    <n v="1050"/>
    <n v="1050"/>
    <x v="0"/>
    <m/>
    <s v="DANIELI DO BRASIL"/>
    <x v="0"/>
    <x v="0"/>
  </r>
  <r>
    <n v="153"/>
    <m/>
    <m/>
    <n v="436751.74"/>
    <n v="436751.74"/>
    <x v="0"/>
    <m/>
    <s v="BHGE - GE"/>
    <x v="0"/>
    <x v="0"/>
  </r>
  <r>
    <n v="16"/>
    <m/>
    <m/>
    <n v="78504.03"/>
    <n v="78504.03"/>
    <x v="0"/>
    <m/>
    <s v="TECHNIP VITÓRIA-ES"/>
    <x v="0"/>
    <x v="0"/>
  </r>
  <r>
    <n v="17"/>
    <m/>
    <m/>
    <n v="85980.6"/>
    <n v="85980.6"/>
    <x v="0"/>
    <m/>
    <s v="TECHNIP VITÓRIA-ES"/>
    <x v="0"/>
    <x v="0"/>
  </r>
  <r>
    <n v="176"/>
    <m/>
    <m/>
    <n v="58351.53"/>
    <n v="58351.53"/>
    <x v="0"/>
    <m/>
    <s v="BHGE - GE"/>
    <x v="0"/>
    <x v="0"/>
  </r>
  <r>
    <n v="18"/>
    <m/>
    <m/>
    <n v="78504.03"/>
    <n v="78504.03"/>
    <x v="0"/>
    <m/>
    <s v="TECHNIP VITÓRIA-ES"/>
    <x v="0"/>
    <x v="0"/>
  </r>
  <r>
    <n v="19"/>
    <m/>
    <m/>
    <n v="78504.03"/>
    <n v="78504.03"/>
    <x v="0"/>
    <m/>
    <s v="TECHNIP VITÓRIA-ES"/>
    <x v="0"/>
    <x v="0"/>
  </r>
  <r>
    <n v="195"/>
    <m/>
    <m/>
    <n v="12973.35"/>
    <n v="12973.35"/>
    <x v="0"/>
    <m/>
    <s v="USIESP USINAGENS ESPECIAIS LTDA"/>
    <x v="0"/>
    <x v="0"/>
  </r>
  <r>
    <n v="196"/>
    <m/>
    <m/>
    <n v="140845.85999999999"/>
    <n v="140845.85999999999"/>
    <x v="0"/>
    <m/>
    <s v="TECHNIP AÇÚ-RJ"/>
    <x v="0"/>
    <x v="0"/>
  </r>
  <r>
    <n v="197"/>
    <m/>
    <m/>
    <n v="140845.85999999999"/>
    <n v="140845.85999999999"/>
    <x v="0"/>
    <m/>
    <s v="TECHNIP AÇÚ-RJ"/>
    <x v="0"/>
    <x v="0"/>
  </r>
  <r>
    <n v="198"/>
    <m/>
    <m/>
    <n v="140845.85999999999"/>
    <n v="140845.85999999999"/>
    <x v="0"/>
    <m/>
    <s v="TECHNIP AÇÚ-RJ"/>
    <x v="0"/>
    <x v="0"/>
  </r>
  <r>
    <n v="2"/>
    <m/>
    <m/>
    <n v="325758.76"/>
    <n v="325758.76"/>
    <x v="0"/>
    <m/>
    <s v="BHGE - GE"/>
    <x v="0"/>
    <x v="0"/>
  </r>
  <r>
    <n v="20"/>
    <m/>
    <m/>
    <n v="78504.03"/>
    <n v="78504.03"/>
    <x v="0"/>
    <m/>
    <s v="TECHNIP VITÓRIA-ES"/>
    <x v="0"/>
    <x v="0"/>
  </r>
  <r>
    <n v="21"/>
    <m/>
    <m/>
    <n v="43818.920000000006"/>
    <n v="43818.920000000006"/>
    <x v="0"/>
    <m/>
    <s v="TECHNIP AÇÚ-RJ"/>
    <x v="0"/>
    <x v="0"/>
  </r>
  <r>
    <n v="219"/>
    <m/>
    <m/>
    <n v="14400"/>
    <n v="14400"/>
    <x v="0"/>
    <m/>
    <s v="USIESP USINAGENS ESPECIAIS LTDA"/>
    <x v="0"/>
    <x v="0"/>
  </r>
  <r>
    <n v="22"/>
    <m/>
    <m/>
    <n v="43818.920000000006"/>
    <n v="43818.920000000006"/>
    <x v="0"/>
    <m/>
    <s v="TECHNIP AÇÚ-RJ"/>
    <x v="0"/>
    <x v="0"/>
  </r>
  <r>
    <n v="220"/>
    <m/>
    <m/>
    <n v="4358.92"/>
    <n v="4358.92"/>
    <x v="0"/>
    <m/>
    <s v="TECHNIP VITÓRIA-ES"/>
    <x v="0"/>
    <x v="0"/>
  </r>
  <r>
    <n v="221"/>
    <m/>
    <m/>
    <n v="3262.43"/>
    <n v="3262.43"/>
    <x v="0"/>
    <m/>
    <s v="KUTTNER DO BRASIL EQUIPAMENTOS SIDERURGICOS L"/>
    <x v="0"/>
    <x v="0"/>
  </r>
  <r>
    <n v="222"/>
    <m/>
    <m/>
    <n v="1571.45"/>
    <n v="1571.45"/>
    <x v="0"/>
    <m/>
    <s v="KUTTNER DO BRASIL EQUIPAMENTOS SIDERURGICOS L"/>
    <x v="0"/>
    <x v="0"/>
  </r>
  <r>
    <n v="224"/>
    <m/>
    <m/>
    <n v="1275437.53"/>
    <n v="1275437.53"/>
    <x v="0"/>
    <m/>
    <s v="ALLONDA AMBIENTAL S.A."/>
    <x v="0"/>
    <x v="0"/>
  </r>
  <r>
    <n v="225"/>
    <m/>
    <m/>
    <n v="2.09"/>
    <n v="2.09"/>
    <x v="0"/>
    <m/>
    <s v="ICM METAIS"/>
    <x v="0"/>
    <x v="0"/>
  </r>
  <r>
    <n v="226"/>
    <m/>
    <m/>
    <n v="45838.85"/>
    <n v="45838.85"/>
    <x v="0"/>
    <m/>
    <s v="TECHNIP AÇÚ-RJ"/>
    <x v="0"/>
    <x v="0"/>
  </r>
  <r>
    <n v="227"/>
    <m/>
    <m/>
    <n v="1050"/>
    <n v="1050"/>
    <x v="0"/>
    <m/>
    <s v="VITORIA INDUSTRIAL LTDA ME"/>
    <x v="0"/>
    <x v="0"/>
  </r>
  <r>
    <n v="23"/>
    <m/>
    <m/>
    <n v="73243.260000000009"/>
    <n v="73243.260000000009"/>
    <x v="0"/>
    <m/>
    <s v="TECHNIP AÇÚ-RJ"/>
    <x v="0"/>
    <x v="0"/>
  </r>
  <r>
    <n v="24"/>
    <m/>
    <m/>
    <n v="91857.900000000009"/>
    <n v="91857.900000000009"/>
    <x v="0"/>
    <m/>
    <s v="TECHNIP AÇÚ-RJ"/>
    <x v="0"/>
    <x v="0"/>
  </r>
  <r>
    <n v="25"/>
    <m/>
    <m/>
    <n v="7242.72"/>
    <n v="7242.72"/>
    <x v="0"/>
    <m/>
    <s v="VALE S.A."/>
    <x v="0"/>
    <x v="0"/>
  </r>
  <r>
    <n v="253"/>
    <m/>
    <m/>
    <n v="52594.68"/>
    <n v="52594.68"/>
    <x v="0"/>
    <m/>
    <s v="USIESP USINAGENS ESPECIAIS LTDA"/>
    <x v="0"/>
    <x v="0"/>
  </r>
  <r>
    <n v="255"/>
    <m/>
    <m/>
    <n v="1.05"/>
    <n v="1.05"/>
    <x v="0"/>
    <m/>
    <s v="HKM"/>
    <x v="0"/>
    <x v="0"/>
  </r>
  <r>
    <n v="256"/>
    <m/>
    <m/>
    <n v="24000"/>
    <n v="24000"/>
    <x v="0"/>
    <m/>
    <s v="USIESP USINAGENS ESPECIAIS LTDA"/>
    <x v="0"/>
    <x v="0"/>
  </r>
  <r>
    <n v="257"/>
    <n v="11944"/>
    <n v="4494"/>
    <n v="4494"/>
    <n v="4494"/>
    <x v="5"/>
    <n v="48"/>
    <s v="BAKER HUGHES ENERGY TECHNOLOGY DO BRASIL"/>
    <x v="1"/>
    <x v="1"/>
  </r>
  <r>
    <n v="257"/>
    <n v="11957"/>
    <n v="-4494"/>
    <n v="4494"/>
    <n v="4494"/>
    <x v="6"/>
    <n v="48"/>
    <s v="BAKER HUGHES ENERGY TECHNOLOGY DO BRASIL"/>
    <x v="1"/>
    <x v="1"/>
  </r>
  <r>
    <n v="258"/>
    <m/>
    <m/>
    <n v="42200"/>
    <n v="42200"/>
    <x v="0"/>
    <m/>
    <s v="USIESP USINAGENS ESPECIAIS LTDA"/>
    <x v="0"/>
    <x v="0"/>
  </r>
  <r>
    <n v="26"/>
    <m/>
    <m/>
    <n v="12170.27"/>
    <n v="12170.27"/>
    <x v="0"/>
    <m/>
    <s v="TECHNIP VIANA-ES"/>
    <x v="0"/>
    <x v="0"/>
  </r>
  <r>
    <n v="260"/>
    <m/>
    <m/>
    <n v="562000"/>
    <n v="562000"/>
    <x v="0"/>
    <m/>
    <s v="STOLTHAVEN"/>
    <x v="0"/>
    <x v="0"/>
  </r>
  <r>
    <n v="262"/>
    <n v="11347"/>
    <n v="530566.14"/>
    <n v="536958.5"/>
    <n v="6392.36"/>
    <x v="7"/>
    <n v="13"/>
    <s v="TECHNIP BRASIL - ENGENHARIA, INSTALACOES E AP"/>
    <x v="0"/>
    <x v="0"/>
  </r>
  <r>
    <n v="263"/>
    <n v="11245"/>
    <n v="637179.82000000007"/>
    <n v="6371798.1600000001"/>
    <n v="22756.400000000001"/>
    <x v="8"/>
    <n v="5"/>
    <s v="TECHNIP BRASIL - ENGENHARIA, INSTALACOES E AP"/>
    <x v="0"/>
    <x v="0"/>
  </r>
  <r>
    <n v="263"/>
    <n v="11247"/>
    <n v="637179.82000000007"/>
    <n v="6371798.1600000001"/>
    <n v="22756.400000000001"/>
    <x v="9"/>
    <n v="5"/>
    <s v="TECHNIP BRASIL - ENGENHARIA, INSTALACOES E AP"/>
    <x v="0"/>
    <x v="0"/>
  </r>
  <r>
    <n v="263"/>
    <n v="11249"/>
    <n v="637179.82000000007"/>
    <n v="6371798.1600000001"/>
    <n v="22756.400000000001"/>
    <x v="10"/>
    <n v="6"/>
    <s v="TECHNIP BRASIL - ENGENHARIA, INSTALACOES E AP"/>
    <x v="0"/>
    <x v="0"/>
  </r>
  <r>
    <n v="263"/>
    <n v="11266"/>
    <n v="637179.82000000007"/>
    <n v="6371798.1600000001"/>
    <n v="22756.400000000001"/>
    <x v="11"/>
    <n v="7"/>
    <s v="TECHNIP BRASIL - ENGENHARIA, INSTALACOES E AP"/>
    <x v="0"/>
    <x v="0"/>
  </r>
  <r>
    <n v="263"/>
    <n v="11283"/>
    <n v="637179.82000000007"/>
    <n v="6371798.1600000001"/>
    <n v="22756.400000000001"/>
    <x v="12"/>
    <n v="8"/>
    <s v="TECHNIP BRASIL - ENGENHARIA, INSTALACOES E AP"/>
    <x v="0"/>
    <x v="0"/>
  </r>
  <r>
    <n v="263"/>
    <n v="11306"/>
    <n v="637179.82000000007"/>
    <n v="6371798.1600000001"/>
    <n v="22756.400000000001"/>
    <x v="13"/>
    <n v="10"/>
    <s v="TECHNIP BRASIL - ENGENHARIA, INSTALACOES E AP"/>
    <x v="0"/>
    <x v="0"/>
  </r>
  <r>
    <n v="263"/>
    <n v="11321"/>
    <n v="637179.82000000007"/>
    <n v="6371798.1600000001"/>
    <n v="22756.400000000001"/>
    <x v="14"/>
    <n v="11"/>
    <s v="TECHNIP BRASIL - ENGENHARIA, INSTALACOES E AP"/>
    <x v="0"/>
    <x v="0"/>
  </r>
  <r>
    <n v="263"/>
    <n v="11364"/>
    <n v="629594.34000000008"/>
    <n v="6371798.1600000001"/>
    <n v="22756.400000000001"/>
    <x v="15"/>
    <n v="16"/>
    <s v="TECHNIP BRASIL - ENGENHARIA, INSTALACOES E AP"/>
    <x v="0"/>
    <x v="0"/>
  </r>
  <r>
    <n v="263"/>
    <n v="11384"/>
    <n v="629594.34000000008"/>
    <n v="6371798.1600000001"/>
    <n v="22756.400000000001"/>
    <x v="16"/>
    <n v="17"/>
    <s v="TECHNIP BRASIL - ENGENHARIA, INSTALACOES E AP"/>
    <x v="0"/>
    <x v="0"/>
  </r>
  <r>
    <n v="263"/>
    <n v="11409"/>
    <n v="629594.34000000008"/>
    <n v="6371798.1600000001"/>
    <n v="22756.400000000001"/>
    <x v="17"/>
    <n v="18"/>
    <s v="TECHNIP BRASIL - ENGENHARIA, INSTALACOES E AP"/>
    <x v="0"/>
    <x v="0"/>
  </r>
  <r>
    <n v="264"/>
    <n v="11233"/>
    <n v="907148.92999999993"/>
    <n v="5442893.5700000003"/>
    <n v="2732246.17"/>
    <x v="18"/>
    <n v="4"/>
    <s v="TECHNIP BRASIL - ENGENHARIA, INSTALACOES E AP"/>
    <x v="0"/>
    <x v="0"/>
  </r>
  <r>
    <n v="264"/>
    <n v="11248"/>
    <n v="-907148.92999999993"/>
    <n v="5442893.5700000003"/>
    <n v="2732246.17"/>
    <x v="10"/>
    <n v="6"/>
    <s v="TECHNIP BRASIL - ENGENHARIA, INSTALACOES E AP"/>
    <x v="0"/>
    <x v="0"/>
  </r>
  <r>
    <n v="264"/>
    <n v="11269"/>
    <n v="1814297.8599999999"/>
    <n v="5442893.5700000003"/>
    <n v="2732246.17"/>
    <x v="19"/>
    <n v="7"/>
    <s v="TECHNIP BRASIL - ENGENHARIA, INSTALACOES E AP"/>
    <x v="0"/>
    <x v="0"/>
  </r>
  <r>
    <n v="264"/>
    <n v="11280"/>
    <n v="-1814297.8599999999"/>
    <n v="5442893.5700000003"/>
    <n v="2732246.17"/>
    <x v="20"/>
    <n v="8"/>
    <s v="TECHNIP BRASIL - ENGENHARIA, INSTALACOES E AP"/>
    <x v="0"/>
    <x v="0"/>
  </r>
  <r>
    <n v="264"/>
    <n v="11304"/>
    <n v="907148.92999999993"/>
    <n v="5442893.5700000003"/>
    <n v="2732246.17"/>
    <x v="13"/>
    <n v="10"/>
    <s v="TECHNIP BRASIL - ENGENHARIA, INSTALACOES E AP"/>
    <x v="0"/>
    <x v="0"/>
  </r>
  <r>
    <n v="264"/>
    <n v="11305"/>
    <n v="907148.92999999993"/>
    <n v="5442893.5700000003"/>
    <n v="2732246.17"/>
    <x v="13"/>
    <n v="10"/>
    <s v="TECHNIP BRASIL - ENGENHARIA, INSTALACOES E AP"/>
    <x v="0"/>
    <x v="0"/>
  </r>
  <r>
    <n v="264"/>
    <n v="11333"/>
    <n v="896349.54"/>
    <n v="5442893.5700000003"/>
    <n v="2732246.17"/>
    <x v="21"/>
    <n v="12"/>
    <s v="TECHNIP BRASIL - ENGENHARIA, INSTALACOES E AP"/>
    <x v="0"/>
    <x v="0"/>
  </r>
  <r>
    <n v="265"/>
    <m/>
    <m/>
    <n v="8185.48"/>
    <n v="8185.48"/>
    <x v="0"/>
    <m/>
    <s v="TECHNIP AÇÚ-RJ"/>
    <x v="0"/>
    <x v="0"/>
  </r>
  <r>
    <n v="266"/>
    <m/>
    <m/>
    <n v="38800"/>
    <n v="38800"/>
    <x v="0"/>
    <m/>
    <s v="USIESP USINAGENS ESPECIAIS LTDA"/>
    <x v="0"/>
    <x v="0"/>
  </r>
  <r>
    <n v="267"/>
    <m/>
    <m/>
    <n v="16000"/>
    <n v="16000"/>
    <x v="0"/>
    <m/>
    <s v="RID"/>
    <x v="0"/>
    <x v="0"/>
  </r>
  <r>
    <n v="268"/>
    <m/>
    <m/>
    <n v="1400"/>
    <n v="1400"/>
    <x v="0"/>
    <m/>
    <s v="THYSSENKRUPP INDUSTRIAL SOLUTIONS LTDA"/>
    <x v="0"/>
    <x v="0"/>
  </r>
  <r>
    <n v="269"/>
    <m/>
    <m/>
    <n v="16000"/>
    <n v="16000"/>
    <x v="0"/>
    <m/>
    <s v="RID"/>
    <x v="0"/>
    <x v="0"/>
  </r>
  <r>
    <n v="27"/>
    <m/>
    <m/>
    <n v="22668.58"/>
    <n v="22668.58"/>
    <x v="0"/>
    <m/>
    <s v="BHGE - GE"/>
    <x v="0"/>
    <x v="0"/>
  </r>
  <r>
    <n v="270"/>
    <m/>
    <m/>
    <n v="2400"/>
    <n v="2400"/>
    <x v="0"/>
    <m/>
    <s v="USIESP USINAGENS ESPECIAIS LTDA"/>
    <x v="0"/>
    <x v="0"/>
  </r>
  <r>
    <n v="273"/>
    <m/>
    <m/>
    <n v="6310.17"/>
    <n v="6310.17"/>
    <x v="0"/>
    <m/>
    <s v="THYSSENKRUPP INDUSTRIAL SOLUTIONS LTDA"/>
    <x v="0"/>
    <x v="0"/>
  </r>
  <r>
    <n v="274"/>
    <m/>
    <m/>
    <n v="84818.240000000005"/>
    <n v="84818.240000000005"/>
    <x v="0"/>
    <m/>
    <s v="THYSSENKRUPP"/>
    <x v="0"/>
    <x v="0"/>
  </r>
  <r>
    <n v="275"/>
    <m/>
    <m/>
    <n v="2551.54"/>
    <n v="2551.54"/>
    <x v="0"/>
    <m/>
    <s v="THYSSENKRUPP INDUSTRIAL SOLUTIONS LTDA"/>
    <x v="0"/>
    <x v="0"/>
  </r>
  <r>
    <n v="276"/>
    <m/>
    <m/>
    <n v="477371.38"/>
    <n v="477371.38"/>
    <x v="0"/>
    <m/>
    <s v="THYSSENKRUPP"/>
    <x v="0"/>
    <x v="0"/>
  </r>
  <r>
    <n v="277"/>
    <m/>
    <m/>
    <n v="477371.38"/>
    <n v="477371.38"/>
    <x v="0"/>
    <m/>
    <s v="THYSSENKRUPP"/>
    <x v="0"/>
    <x v="0"/>
  </r>
  <r>
    <n v="278"/>
    <m/>
    <m/>
    <n v="143941.99"/>
    <n v="143941.99"/>
    <x v="0"/>
    <m/>
    <s v="THYSSENKRUPP"/>
    <x v="0"/>
    <x v="0"/>
  </r>
  <r>
    <n v="279"/>
    <m/>
    <m/>
    <n v="1209334.08"/>
    <n v="1209334.08"/>
    <x v="0"/>
    <m/>
    <s v="ARCELOR MITTAL"/>
    <x v="0"/>
    <x v="0"/>
  </r>
  <r>
    <n v="28"/>
    <m/>
    <m/>
    <n v="20538"/>
    <n v="20538"/>
    <x v="0"/>
    <m/>
    <s v="VOITH PAPER MAQUINAS E EQUIPAMENTOS LTDA"/>
    <x v="0"/>
    <x v="0"/>
  </r>
  <r>
    <n v="280"/>
    <m/>
    <m/>
    <n v="19000"/>
    <n v="19000"/>
    <x v="0"/>
    <m/>
    <s v="CALDEX"/>
    <x v="0"/>
    <x v="0"/>
  </r>
  <r>
    <n v="281"/>
    <m/>
    <m/>
    <n v="46800"/>
    <n v="46800"/>
    <x v="0"/>
    <m/>
    <s v="USIESP USINAGENS ESPECIAIS LTDA"/>
    <x v="0"/>
    <x v="0"/>
  </r>
  <r>
    <n v="295"/>
    <m/>
    <m/>
    <n v="14172.12"/>
    <n v="14172.12"/>
    <x v="0"/>
    <m/>
    <s v="TECHNIP AÇÚ-RJ"/>
    <x v="0"/>
    <x v="0"/>
  </r>
  <r>
    <n v="297"/>
    <m/>
    <m/>
    <n v="21367.5"/>
    <n v="21367.5"/>
    <x v="0"/>
    <m/>
    <s v="ARCELOR MITTAL"/>
    <x v="0"/>
    <x v="0"/>
  </r>
  <r>
    <n v="299"/>
    <m/>
    <m/>
    <n v="48297"/>
    <n v="48297"/>
    <x v="0"/>
    <m/>
    <s v="DANIELI DO BRASIL"/>
    <x v="0"/>
    <x v="0"/>
  </r>
  <r>
    <n v="30"/>
    <n v="2"/>
    <n v="9185.8700000000008"/>
    <n v="9185.8700000000008"/>
    <n v="0"/>
    <x v="22"/>
    <n v="15"/>
    <s v="TECHNIP VITÓRIA-ES"/>
    <x v="0"/>
    <x v="0"/>
  </r>
  <r>
    <n v="302"/>
    <m/>
    <m/>
    <n v="298389.21000000002"/>
    <n v="298389.21000000002"/>
    <x v="0"/>
    <m/>
    <s v="GE WIND"/>
    <x v="0"/>
    <x v="0"/>
  </r>
  <r>
    <n v="316"/>
    <m/>
    <m/>
    <n v="20174"/>
    <n v="20174"/>
    <x v="0"/>
    <m/>
    <s v="USIESP USINAGENS ESPECIAIS LTDA"/>
    <x v="0"/>
    <x v="0"/>
  </r>
  <r>
    <n v="324"/>
    <m/>
    <m/>
    <n v="15311.35"/>
    <n v="15311.35"/>
    <x v="0"/>
    <m/>
    <s v="METSO "/>
    <x v="0"/>
    <x v="0"/>
  </r>
  <r>
    <n v="325"/>
    <m/>
    <m/>
    <n v="59761.2"/>
    <n v="59761.2"/>
    <x v="0"/>
    <m/>
    <s v="USIESP USINAGENS ESPECIAIS LTDA"/>
    <x v="0"/>
    <x v="0"/>
  </r>
  <r>
    <n v="326"/>
    <m/>
    <m/>
    <n v="24621.62"/>
    <n v="24621.62"/>
    <x v="0"/>
    <m/>
    <s v="USIESP USINAGENS ESPECIAIS LTDA"/>
    <x v="0"/>
    <x v="0"/>
  </r>
  <r>
    <n v="330"/>
    <m/>
    <m/>
    <n v="1"/>
    <n v="1"/>
    <x v="0"/>
    <m/>
    <s v="AKER SOLUTIONS PR"/>
    <x v="0"/>
    <x v="0"/>
  </r>
  <r>
    <n v="331"/>
    <m/>
    <m/>
    <n v="1"/>
    <n v="1"/>
    <x v="0"/>
    <m/>
    <s v="AKER SOLUTIONS PR"/>
    <x v="0"/>
    <x v="0"/>
  </r>
  <r>
    <n v="332"/>
    <m/>
    <m/>
    <n v="1"/>
    <n v="1"/>
    <x v="0"/>
    <m/>
    <s v="AKER SOLUTIONS PR"/>
    <x v="0"/>
    <x v="0"/>
  </r>
  <r>
    <n v="333"/>
    <m/>
    <m/>
    <n v="1"/>
    <n v="1"/>
    <x v="0"/>
    <m/>
    <s v="AKER SOLUTIONS PR"/>
    <x v="0"/>
    <x v="0"/>
  </r>
  <r>
    <n v="334"/>
    <n v="11527"/>
    <n v="360339.68"/>
    <n v="697994.54"/>
    <n v="1359608.58"/>
    <x v="23"/>
    <n v="23"/>
    <s v="AKER SOLUTIONS PR"/>
    <x v="1"/>
    <x v="1"/>
  </r>
  <r>
    <n v="334"/>
    <n v="11569"/>
    <n v="-360339.68"/>
    <n v="697994.54"/>
    <n v="1359608.58"/>
    <x v="24"/>
    <n v="26"/>
    <s v="AKER SOLUTIONS PR"/>
    <x v="1"/>
    <x v="1"/>
  </r>
  <r>
    <n v="334"/>
    <n v="11569"/>
    <n v="-158807.78"/>
    <n v="697994.54"/>
    <n v="1359608.58"/>
    <x v="24"/>
    <n v="26"/>
    <s v="AKER SOLUTIONS PR"/>
    <x v="1"/>
    <x v="1"/>
  </r>
  <r>
    <n v="334"/>
    <n v="11621"/>
    <n v="360339.68"/>
    <n v="697994.54"/>
    <n v="1359608.58"/>
    <x v="25"/>
    <n v="29"/>
    <s v="AKER SOLUTIONS PR"/>
    <x v="1"/>
    <x v="1"/>
  </r>
  <r>
    <n v="334"/>
    <n v="11663"/>
    <n v="-348997.27"/>
    <n v="697994.54"/>
    <n v="1359608.58"/>
    <x v="26"/>
    <n v="32"/>
    <s v="AKER SOLUTIONS PR"/>
    <x v="1"/>
    <x v="1"/>
  </r>
  <r>
    <n v="334"/>
    <n v="11663"/>
    <n v="-153808.99"/>
    <n v="697994.54"/>
    <n v="1359608.58"/>
    <x v="26"/>
    <n v="32"/>
    <s v="AKER SOLUTIONS PR"/>
    <x v="1"/>
    <x v="1"/>
  </r>
  <r>
    <n v="334"/>
    <n v="11674"/>
    <n v="-360339.68"/>
    <n v="697994.54"/>
    <n v="1359608.58"/>
    <x v="27"/>
    <n v="32"/>
    <s v="AKER SOLUTIONS PR"/>
    <x v="1"/>
    <x v="1"/>
  </r>
  <r>
    <n v="335"/>
    <n v="11622"/>
    <n v="360339.68"/>
    <n v="1046991.81"/>
    <n v="422366.01"/>
    <x v="25"/>
    <n v="29"/>
    <s v="AKER SOLUTIONS PR"/>
    <x v="2"/>
    <x v="0"/>
  </r>
  <r>
    <n v="335"/>
    <n v="11675"/>
    <n v="-360339.68"/>
    <n v="1046991.81"/>
    <n v="422366.01"/>
    <x v="27"/>
    <n v="32"/>
    <s v="AKER SOLUTIONS PR"/>
    <x v="2"/>
    <x v="0"/>
  </r>
  <r>
    <n v="335"/>
    <n v="11720"/>
    <n v="624625.80000000005"/>
    <n v="1046991.81"/>
    <n v="422366.01"/>
    <x v="28"/>
    <n v="35"/>
    <s v="AKER SOLUTIONS PR"/>
    <x v="2"/>
    <x v="0"/>
  </r>
  <r>
    <n v="336"/>
    <n v="11527"/>
    <n v="158807.78"/>
    <n v="153808.99"/>
    <n v="0"/>
    <x v="23"/>
    <n v="23"/>
    <s v="AKER SOLUTIONS PR"/>
    <x v="2"/>
    <x v="0"/>
  </r>
  <r>
    <n v="338"/>
    <m/>
    <m/>
    <n v="25493.94"/>
    <n v="25493.94"/>
    <x v="0"/>
    <m/>
    <s v="USIESP USINAGENS ESPECIAIS LTDA"/>
    <x v="0"/>
    <x v="0"/>
  </r>
  <r>
    <n v="339"/>
    <n v="11291"/>
    <n v="71528.5"/>
    <n v="71528.5"/>
    <n v="0"/>
    <x v="29"/>
    <n v="10"/>
    <s v="BHGE - GE"/>
    <x v="0"/>
    <x v="0"/>
  </r>
  <r>
    <n v="340"/>
    <n v="11293"/>
    <n v="122387.29000000001"/>
    <n v="122387.29"/>
    <n v="0"/>
    <x v="29"/>
    <n v="10"/>
    <s v="BHGE - GE"/>
    <x v="0"/>
    <x v="0"/>
  </r>
  <r>
    <n v="341"/>
    <n v="11292"/>
    <n v="71528.5"/>
    <n v="71528.5"/>
    <n v="0"/>
    <x v="29"/>
    <n v="10"/>
    <s v="BHGE - GE"/>
    <x v="0"/>
    <x v="0"/>
  </r>
  <r>
    <n v="342"/>
    <n v="11294"/>
    <n v="122387.29000000001"/>
    <n v="122387.29"/>
    <n v="0"/>
    <x v="29"/>
    <n v="10"/>
    <s v="BHGE - GE"/>
    <x v="0"/>
    <x v="0"/>
  </r>
  <r>
    <n v="343"/>
    <n v="11295"/>
    <n v="71528.5"/>
    <n v="71528.5"/>
    <n v="0"/>
    <x v="29"/>
    <n v="10"/>
    <s v="BHGE - GE"/>
    <x v="0"/>
    <x v="0"/>
  </r>
  <r>
    <n v="344"/>
    <n v="11253"/>
    <n v="71528.5"/>
    <n v="71528.5"/>
    <n v="0"/>
    <x v="10"/>
    <n v="6"/>
    <s v="BHGE - GE"/>
    <x v="0"/>
    <x v="0"/>
  </r>
  <r>
    <n v="345"/>
    <n v="11296"/>
    <n v="122387.29000000001"/>
    <n v="122387.29"/>
    <n v="0"/>
    <x v="29"/>
    <n v="10"/>
    <s v="BHGE - GE"/>
    <x v="0"/>
    <x v="0"/>
  </r>
  <r>
    <n v="346"/>
    <n v="11297"/>
    <n v="71528.5"/>
    <n v="71528.5"/>
    <n v="0"/>
    <x v="29"/>
    <n v="10"/>
    <s v="BHGE - GE"/>
    <x v="0"/>
    <x v="0"/>
  </r>
  <r>
    <n v="347"/>
    <n v="11380"/>
    <n v="120930.29000000001"/>
    <n v="122387.29"/>
    <n v="1457"/>
    <x v="30"/>
    <n v="17"/>
    <s v="BHGE - GE"/>
    <x v="0"/>
    <x v="0"/>
  </r>
  <r>
    <n v="348"/>
    <n v="11381"/>
    <n v="210413.73"/>
    <n v="212948.83"/>
    <n v="2535.1"/>
    <x v="30"/>
    <n v="17"/>
    <s v="BHGE - GE"/>
    <x v="0"/>
    <x v="0"/>
  </r>
  <r>
    <n v="349"/>
    <n v="11261"/>
    <n v="75657.740000000005"/>
    <n v="75657.740000000005"/>
    <n v="0"/>
    <x v="31"/>
    <n v="7"/>
    <s v="BHGE - GE"/>
    <x v="0"/>
    <x v="0"/>
  </r>
  <r>
    <n v="350"/>
    <n v="11254"/>
    <n v="247021.59"/>
    <n v="247021.59"/>
    <n v="0"/>
    <x v="10"/>
    <n v="6"/>
    <s v="BHGE - GE"/>
    <x v="0"/>
    <x v="0"/>
  </r>
  <r>
    <n v="351"/>
    <n v="11261"/>
    <n v="75657.740000000005"/>
    <n v="75657.740000000005"/>
    <n v="0"/>
    <x v="31"/>
    <n v="7"/>
    <s v="BHGE - GE"/>
    <x v="0"/>
    <x v="0"/>
  </r>
  <r>
    <n v="352"/>
    <n v="11298"/>
    <n v="75657.740000000005"/>
    <n v="75657.740000000005"/>
    <n v="0"/>
    <x v="29"/>
    <n v="10"/>
    <s v="BHGE - GE"/>
    <x v="0"/>
    <x v="0"/>
  </r>
  <r>
    <n v="353"/>
    <m/>
    <m/>
    <n v="47510.48"/>
    <n v="47510.48"/>
    <x v="0"/>
    <m/>
    <s v="BHGE - GE"/>
    <x v="0"/>
    <x v="0"/>
  </r>
  <r>
    <n v="354"/>
    <m/>
    <m/>
    <n v="159387.92000000001"/>
    <n v="159387.92000000001"/>
    <x v="0"/>
    <m/>
    <s v="RIP SERVICOS INDUSTRIAIS LTDA"/>
    <x v="0"/>
    <x v="0"/>
  </r>
  <r>
    <n v="355"/>
    <m/>
    <m/>
    <n v="76711.350000000006"/>
    <n v="76711.350000000006"/>
    <x v="0"/>
    <m/>
    <s v="RIP SERVICOS INDUSTRIAIS LTDA"/>
    <x v="0"/>
    <x v="0"/>
  </r>
  <r>
    <n v="356"/>
    <m/>
    <m/>
    <n v="175661.09"/>
    <n v="175661.09"/>
    <x v="0"/>
    <m/>
    <s v="RIP SERVICOS INDUSTRIAIS LTDA"/>
    <x v="0"/>
    <x v="0"/>
  </r>
  <r>
    <n v="357"/>
    <m/>
    <m/>
    <n v="28239.64"/>
    <n v="28239.64"/>
    <x v="0"/>
    <m/>
    <s v="RIP SERVICOS INDUSTRIAIS LTDA"/>
    <x v="0"/>
    <x v="0"/>
  </r>
  <r>
    <n v="363"/>
    <n v="11366"/>
    <n v="938160"/>
    <n v="7505280"/>
    <n v="0"/>
    <x v="32"/>
    <n v="16"/>
    <s v="BAKER HUGHES DO BRASIL LTDA"/>
    <x v="3"/>
    <x v="2"/>
  </r>
  <r>
    <n v="363"/>
    <n v="11372"/>
    <n v="938160"/>
    <n v="7505280"/>
    <n v="0"/>
    <x v="33"/>
    <n v="16"/>
    <s v="BAKER HUGHES DO BRASIL LTDA"/>
    <x v="3"/>
    <x v="2"/>
  </r>
  <r>
    <n v="363"/>
    <n v="11392"/>
    <n v="938160"/>
    <n v="7505280"/>
    <n v="0"/>
    <x v="34"/>
    <n v="18"/>
    <s v="BAKER HUGHES DO BRASIL LTDA"/>
    <x v="3"/>
    <x v="2"/>
  </r>
  <r>
    <n v="363"/>
    <n v="11566"/>
    <n v="938160"/>
    <n v="7505280"/>
    <n v="0"/>
    <x v="35"/>
    <n v="26"/>
    <s v="BAKER HUGHES DO BRASIL LTDA"/>
    <x v="3"/>
    <x v="2"/>
  </r>
  <r>
    <n v="363"/>
    <n v="11856"/>
    <n v="1047852.5"/>
    <n v="7505280"/>
    <n v="0"/>
    <x v="36"/>
    <n v="41"/>
    <s v="BAKER HUGHES DO BRASIL LTDA"/>
    <x v="3"/>
    <x v="2"/>
  </r>
  <r>
    <n v="363"/>
    <n v="11869"/>
    <n v="1047852.5"/>
    <n v="7505280"/>
    <n v="0"/>
    <x v="37"/>
    <n v="43"/>
    <s v="BAKER HUGHES DO BRASIL LTDA"/>
    <x v="3"/>
    <x v="2"/>
  </r>
  <r>
    <n v="363"/>
    <n v="11896"/>
    <n v="1047852.5"/>
    <n v="7505280"/>
    <n v="0"/>
    <x v="38"/>
    <n v="45"/>
    <s v="BAKER HUGHES DO BRASIL LTDA"/>
    <x v="3"/>
    <x v="2"/>
  </r>
  <r>
    <n v="363"/>
    <n v="11950"/>
    <n v="1047852.5"/>
    <n v="7505280"/>
    <n v="0"/>
    <x v="39"/>
    <n v="48"/>
    <s v="BAKER HUGHES DO BRASIL LTDA"/>
    <x v="3"/>
    <x v="2"/>
  </r>
  <r>
    <n v="364"/>
    <m/>
    <m/>
    <n v="38500"/>
    <n v="38500"/>
    <x v="0"/>
    <m/>
    <s v="BAKER HUGHES DO BRASIL LTDA"/>
    <x v="0"/>
    <x v="0"/>
  </r>
  <r>
    <n v="365"/>
    <m/>
    <m/>
    <n v="839040"/>
    <n v="839040"/>
    <x v="0"/>
    <m/>
    <s v="BAKER HUGHES DO BRASIL LTDA"/>
    <x v="0"/>
    <x v="0"/>
  </r>
  <r>
    <n v="366"/>
    <n v="11307"/>
    <n v="25282.12"/>
    <n v="587956.31999999995"/>
    <n v="0"/>
    <x v="40"/>
    <n v="11"/>
    <s v="ICON MAQUINAS E EQUIPAMENTOS LTDA"/>
    <x v="0"/>
    <x v="0"/>
  </r>
  <r>
    <n v="366"/>
    <n v="11309"/>
    <n v="72906.58"/>
    <n v="587956.31999999995"/>
    <n v="0"/>
    <x v="40"/>
    <n v="11"/>
    <s v="ICON MAQUINAS E EQUIPAMENTOS LTDA"/>
    <x v="0"/>
    <x v="0"/>
  </r>
  <r>
    <n v="366"/>
    <n v="11311"/>
    <n v="120531.05"/>
    <n v="587956.31999999995"/>
    <n v="0"/>
    <x v="40"/>
    <n v="11"/>
    <s v="ICON MAQUINAS E EQUIPAMENTOS LTDA"/>
    <x v="0"/>
    <x v="0"/>
  </r>
  <r>
    <n v="366"/>
    <n v="11315"/>
    <n v="369236.57"/>
    <n v="587956.31999999995"/>
    <n v="0"/>
    <x v="41"/>
    <n v="11"/>
    <s v="ICON MAQUINAS E EQUIPAMENTOS LTDA"/>
    <x v="0"/>
    <x v="0"/>
  </r>
  <r>
    <n v="367"/>
    <n v="11243"/>
    <n v="305721.98"/>
    <n v="13896453.720000001"/>
    <n v="4162190.1"/>
    <x v="42"/>
    <n v="5"/>
    <s v="ARCELOR MITTAL"/>
    <x v="4"/>
    <x v="2"/>
  </r>
  <r>
    <n v="367"/>
    <n v="11282"/>
    <n v="175095.32"/>
    <n v="13896453.720000001"/>
    <n v="4162190.1"/>
    <x v="43"/>
    <n v="8"/>
    <s v="ARCELOR MITTAL"/>
    <x v="4"/>
    <x v="2"/>
  </r>
  <r>
    <n v="367"/>
    <n v="11284"/>
    <n v="230681.13"/>
    <n v="13896453.720000001"/>
    <n v="4162190.1"/>
    <x v="44"/>
    <n v="9"/>
    <s v="ARCELOR MITTAL"/>
    <x v="4"/>
    <x v="2"/>
  </r>
  <r>
    <n v="367"/>
    <n v="11290"/>
    <n v="175095.32"/>
    <n v="13896453.720000001"/>
    <n v="4162190.1"/>
    <x v="45"/>
    <n v="9"/>
    <s v="ARCELOR MITTAL"/>
    <x v="4"/>
    <x v="2"/>
  </r>
  <r>
    <n v="367"/>
    <n v="12062"/>
    <n v="411335.03"/>
    <n v="13896453.720000001"/>
    <n v="4162190.1"/>
    <x v="46"/>
    <n v="53"/>
    <s v="ARCELOR MITTAL"/>
    <x v="4"/>
    <x v="2"/>
  </r>
  <r>
    <n v="367"/>
    <n v="12064"/>
    <n v="-111171.63"/>
    <n v="13896453.720000001"/>
    <n v="4162190.1"/>
    <x v="3"/>
    <n v="53"/>
    <s v="ARCELOR MITTAL"/>
    <x v="4"/>
    <x v="2"/>
  </r>
  <r>
    <n v="367"/>
    <n v="12037"/>
    <n v="152860.99"/>
    <n v="13896453.720000001"/>
    <n v="4162190.1"/>
    <x v="47"/>
    <n v="51"/>
    <s v="ARCELOR MITTAL"/>
    <x v="4"/>
    <x v="2"/>
  </r>
  <r>
    <n v="367"/>
    <n v="12051"/>
    <n v="152860.99"/>
    <n v="13896453.720000001"/>
    <n v="4162190.1"/>
    <x v="1"/>
    <n v="52"/>
    <s v="ARCELOR MITTAL"/>
    <x v="4"/>
    <x v="2"/>
  </r>
  <r>
    <n v="367"/>
    <n v="12056"/>
    <n v="152860.99"/>
    <n v="13896453.720000001"/>
    <n v="4162190.1"/>
    <x v="2"/>
    <n v="52"/>
    <s v="ARCELOR MITTAL"/>
    <x v="4"/>
    <x v="2"/>
  </r>
  <r>
    <n v="367"/>
    <n v="12059"/>
    <n v="111171.63"/>
    <n v="13896453.720000001"/>
    <n v="4162190.1"/>
    <x v="46"/>
    <n v="53"/>
    <s v="ARCELOR MITTAL"/>
    <x v="4"/>
    <x v="2"/>
  </r>
  <r>
    <n v="367"/>
    <n v="12060"/>
    <n v="152860.99"/>
    <n v="13896453.720000001"/>
    <n v="4162190.1"/>
    <x v="46"/>
    <n v="53"/>
    <s v="ARCELOR MITTAL"/>
    <x v="4"/>
    <x v="2"/>
  </r>
  <r>
    <n v="367"/>
    <n v="12061"/>
    <n v="152860.99"/>
    <n v="13896453.720000001"/>
    <n v="4162190.1"/>
    <x v="46"/>
    <n v="53"/>
    <s v="ARCELOR MITTAL"/>
    <x v="4"/>
    <x v="2"/>
  </r>
  <r>
    <n v="367"/>
    <n v="11912"/>
    <n v="152860.99"/>
    <n v="13896453.720000001"/>
    <n v="4162190.1"/>
    <x v="48"/>
    <n v="46"/>
    <s v="ARCELOR MITTAL"/>
    <x v="4"/>
    <x v="2"/>
  </r>
  <r>
    <n v="367"/>
    <n v="11941"/>
    <n v="152860.99"/>
    <n v="13896453.720000001"/>
    <n v="4162190.1"/>
    <x v="49"/>
    <n v="47"/>
    <s v="ARCELOR MITTAL"/>
    <x v="4"/>
    <x v="2"/>
  </r>
  <r>
    <n v="367"/>
    <n v="11946"/>
    <n v="152860.99"/>
    <n v="13896453.720000001"/>
    <n v="4162190.1"/>
    <x v="5"/>
    <n v="48"/>
    <s v="ARCELOR MITTAL"/>
    <x v="4"/>
    <x v="2"/>
  </r>
  <r>
    <n v="367"/>
    <n v="12023"/>
    <n v="152860.99"/>
    <n v="13896453.720000001"/>
    <n v="4162190.1"/>
    <x v="50"/>
    <n v="51"/>
    <s v="ARCELOR MITTAL"/>
    <x v="4"/>
    <x v="2"/>
  </r>
  <r>
    <n v="367"/>
    <n v="12024"/>
    <n v="152860.99"/>
    <n v="13896453.720000001"/>
    <n v="4162190.1"/>
    <x v="50"/>
    <n v="51"/>
    <s v="ARCELOR MITTAL"/>
    <x v="4"/>
    <x v="2"/>
  </r>
  <r>
    <n v="367"/>
    <n v="11861"/>
    <n v="152860.99"/>
    <n v="13896453.720000001"/>
    <n v="4162190.1"/>
    <x v="51"/>
    <n v="42"/>
    <s v="ARCELOR MITTAL"/>
    <x v="4"/>
    <x v="2"/>
  </r>
  <r>
    <n v="367"/>
    <n v="11879"/>
    <n v="152860.99"/>
    <n v="13896453.720000001"/>
    <n v="4162190.1"/>
    <x v="52"/>
    <n v="44"/>
    <s v="ARCELOR MITTAL"/>
    <x v="4"/>
    <x v="2"/>
  </r>
  <r>
    <n v="367"/>
    <n v="11892"/>
    <n v="152860.99"/>
    <n v="13896453.720000001"/>
    <n v="4162190.1"/>
    <x v="53"/>
    <n v="44"/>
    <s v="ARCELOR MITTAL"/>
    <x v="4"/>
    <x v="2"/>
  </r>
  <r>
    <n v="367"/>
    <n v="11893"/>
    <n v="152860.99"/>
    <n v="13896453.720000001"/>
    <n v="4162190.1"/>
    <x v="38"/>
    <n v="45"/>
    <s v="ARCELOR MITTAL"/>
    <x v="4"/>
    <x v="2"/>
  </r>
  <r>
    <n v="367"/>
    <n v="11894"/>
    <n v="152860.99"/>
    <n v="13896453.720000001"/>
    <n v="4162190.1"/>
    <x v="38"/>
    <n v="45"/>
    <s v="ARCELOR MITTAL"/>
    <x v="4"/>
    <x v="2"/>
  </r>
  <r>
    <n v="367"/>
    <n v="11895"/>
    <n v="152860.99"/>
    <n v="13896453.720000001"/>
    <n v="4162190.1"/>
    <x v="38"/>
    <n v="45"/>
    <s v="ARCELOR MITTAL"/>
    <x v="4"/>
    <x v="2"/>
  </r>
  <r>
    <n v="367"/>
    <n v="11779"/>
    <n v="-82347.87"/>
    <n v="13896453.720000001"/>
    <n v="4162190.1"/>
    <x v="54"/>
    <n v="39"/>
    <s v="ARCELOR MITTAL"/>
    <x v="4"/>
    <x v="2"/>
  </r>
  <r>
    <n v="367"/>
    <n v="11779"/>
    <n v="-152860.99"/>
    <n v="13896453.720000001"/>
    <n v="4162190.1"/>
    <x v="54"/>
    <n v="39"/>
    <s v="ARCELOR MITTAL"/>
    <x v="4"/>
    <x v="2"/>
  </r>
  <r>
    <n v="367"/>
    <n v="11780"/>
    <n v="-75040.850000000006"/>
    <n v="13896453.720000001"/>
    <n v="4162190.1"/>
    <x v="54"/>
    <n v="39"/>
    <s v="ARCELOR MITTAL"/>
    <x v="4"/>
    <x v="2"/>
  </r>
  <r>
    <n v="367"/>
    <n v="11780"/>
    <n v="-41173.94"/>
    <n v="13896453.720000001"/>
    <n v="4162190.1"/>
    <x v="54"/>
    <n v="39"/>
    <s v="ARCELOR MITTAL"/>
    <x v="4"/>
    <x v="2"/>
  </r>
  <r>
    <n v="367"/>
    <n v="11806"/>
    <n v="75040.850000000006"/>
    <n v="13896453.720000001"/>
    <n v="4162190.1"/>
    <x v="55"/>
    <n v="40"/>
    <s v="ARCELOR MITTAL"/>
    <x v="4"/>
    <x v="2"/>
  </r>
  <r>
    <n v="367"/>
    <n v="11859"/>
    <n v="152860.99"/>
    <n v="13896453.720000001"/>
    <n v="4162190.1"/>
    <x v="56"/>
    <n v="42"/>
    <s v="ARCELOR MITTAL"/>
    <x v="4"/>
    <x v="2"/>
  </r>
  <r>
    <n v="367"/>
    <n v="11747"/>
    <n v="152860.99"/>
    <n v="13896453.720000001"/>
    <n v="4162190.1"/>
    <x v="57"/>
    <n v="37"/>
    <s v="ARCELOR MITTAL"/>
    <x v="4"/>
    <x v="2"/>
  </r>
  <r>
    <n v="367"/>
    <n v="11749"/>
    <n v="152860.99"/>
    <n v="13896453.720000001"/>
    <n v="4162190.1"/>
    <x v="57"/>
    <n v="37"/>
    <s v="ARCELOR MITTAL"/>
    <x v="4"/>
    <x v="2"/>
  </r>
  <r>
    <n v="367"/>
    <n v="11750"/>
    <n v="75040.850000000006"/>
    <n v="13896453.720000001"/>
    <n v="4162190.1"/>
    <x v="57"/>
    <n v="37"/>
    <s v="ARCELOR MITTAL"/>
    <x v="4"/>
    <x v="2"/>
  </r>
  <r>
    <n v="367"/>
    <n v="11759"/>
    <n v="152860.99"/>
    <n v="13896453.720000001"/>
    <n v="4162190.1"/>
    <x v="58"/>
    <n v="38"/>
    <s v="ARCELOR MITTAL"/>
    <x v="4"/>
    <x v="2"/>
  </r>
  <r>
    <n v="367"/>
    <n v="11778"/>
    <n v="-152860.99"/>
    <n v="13896453.720000001"/>
    <n v="4162190.1"/>
    <x v="54"/>
    <n v="39"/>
    <s v="ARCELOR MITTAL"/>
    <x v="4"/>
    <x v="2"/>
  </r>
  <r>
    <n v="367"/>
    <n v="11778"/>
    <n v="-82347.87"/>
    <n v="13896453.720000001"/>
    <n v="4162190.1"/>
    <x v="54"/>
    <n v="39"/>
    <s v="ARCELOR MITTAL"/>
    <x v="4"/>
    <x v="2"/>
  </r>
  <r>
    <n v="367"/>
    <n v="11636"/>
    <n v="305721.98"/>
    <n v="13896453.720000001"/>
    <n v="4162190.1"/>
    <x v="59"/>
    <n v="31"/>
    <s v="ARCELOR MITTAL"/>
    <x v="4"/>
    <x v="2"/>
  </r>
  <r>
    <n v="367"/>
    <n v="11668"/>
    <n v="152860.99"/>
    <n v="13896453.720000001"/>
    <n v="4162190.1"/>
    <x v="60"/>
    <n v="32"/>
    <s v="ARCELOR MITTAL"/>
    <x v="4"/>
    <x v="2"/>
  </r>
  <r>
    <n v="367"/>
    <n v="11673"/>
    <n v="152860.99"/>
    <n v="13896453.720000001"/>
    <n v="4162190.1"/>
    <x v="27"/>
    <n v="32"/>
    <s v="ARCELOR MITTAL"/>
    <x v="4"/>
    <x v="2"/>
  </r>
  <r>
    <n v="367"/>
    <n v="11692"/>
    <n v="152860.99"/>
    <n v="13896453.720000001"/>
    <n v="4162190.1"/>
    <x v="61"/>
    <n v="34"/>
    <s v="ARCELOR MITTAL"/>
    <x v="4"/>
    <x v="2"/>
  </r>
  <r>
    <n v="367"/>
    <n v="11693"/>
    <n v="152860.99"/>
    <n v="13896453.720000001"/>
    <n v="4162190.1"/>
    <x v="61"/>
    <n v="34"/>
    <s v="ARCELOR MITTAL"/>
    <x v="4"/>
    <x v="2"/>
  </r>
  <r>
    <n v="367"/>
    <n v="11700"/>
    <n v="75040.850000000006"/>
    <n v="13896453.720000001"/>
    <n v="4162190.1"/>
    <x v="62"/>
    <n v="34"/>
    <s v="ARCELOR MITTAL"/>
    <x v="4"/>
    <x v="2"/>
  </r>
  <r>
    <n v="367"/>
    <n v="11541"/>
    <n v="152860.99"/>
    <n v="13896453.720000001"/>
    <n v="4162190.1"/>
    <x v="63"/>
    <n v="25"/>
    <s v="ARCELOR MITTAL"/>
    <x v="4"/>
    <x v="2"/>
  </r>
  <r>
    <n v="367"/>
    <n v="11563"/>
    <n v="230681.13"/>
    <n v="13896453.720000001"/>
    <n v="4162190.1"/>
    <x v="64"/>
    <n v="26"/>
    <s v="ARCELOR MITTAL"/>
    <x v="4"/>
    <x v="2"/>
  </r>
  <r>
    <n v="367"/>
    <n v="11577"/>
    <n v="230681.13"/>
    <n v="13896453.720000001"/>
    <n v="4162190.1"/>
    <x v="65"/>
    <n v="27"/>
    <s v="ARCELOR MITTAL"/>
    <x v="4"/>
    <x v="2"/>
  </r>
  <r>
    <n v="367"/>
    <n v="11578"/>
    <n v="152860.99"/>
    <n v="13896453.720000001"/>
    <n v="4162190.1"/>
    <x v="66"/>
    <n v="27"/>
    <s v="ARCELOR MITTAL"/>
    <x v="4"/>
    <x v="2"/>
  </r>
  <r>
    <n v="367"/>
    <n v="11590"/>
    <n v="152860.99"/>
    <n v="13896453.720000001"/>
    <n v="4162190.1"/>
    <x v="67"/>
    <n v="28"/>
    <s v="ARCELOR MITTAL"/>
    <x v="4"/>
    <x v="2"/>
  </r>
  <r>
    <n v="367"/>
    <n v="11611"/>
    <n v="75040.850000000006"/>
    <n v="13896453.720000001"/>
    <n v="4162190.1"/>
    <x v="68"/>
    <n v="29"/>
    <s v="ARCELOR MITTAL"/>
    <x v="4"/>
    <x v="2"/>
  </r>
  <r>
    <n v="367"/>
    <n v="11460"/>
    <n v="205667.52000000002"/>
    <n v="13896453.720000001"/>
    <n v="4162190.1"/>
    <x v="69"/>
    <n v="21"/>
    <s v="ARCELOR MITTAL"/>
    <x v="4"/>
    <x v="2"/>
  </r>
  <r>
    <n v="367"/>
    <n v="11461"/>
    <n v="329345.95"/>
    <n v="13896453.720000001"/>
    <n v="4162190.1"/>
    <x v="69"/>
    <n v="21"/>
    <s v="ARCELOR MITTAL"/>
    <x v="4"/>
    <x v="2"/>
  </r>
  <r>
    <n v="367"/>
    <n v="11466"/>
    <n v="75040.850000000006"/>
    <n v="13896453.720000001"/>
    <n v="4162190.1"/>
    <x v="70"/>
    <n v="21"/>
    <s v="ARCELOR MITTAL"/>
    <x v="4"/>
    <x v="2"/>
  </r>
  <r>
    <n v="367"/>
    <n v="11468"/>
    <n v="230681.13"/>
    <n v="13896453.720000001"/>
    <n v="4162190.1"/>
    <x v="70"/>
    <n v="21"/>
    <s v="ARCELOR MITTAL"/>
    <x v="4"/>
    <x v="2"/>
  </r>
  <r>
    <n v="367"/>
    <n v="11529"/>
    <n v="230681.13"/>
    <n v="13896453.720000001"/>
    <n v="4162190.1"/>
    <x v="71"/>
    <n v="24"/>
    <s v="ARCELOR MITTAL"/>
    <x v="4"/>
    <x v="2"/>
  </r>
  <r>
    <n v="367"/>
    <n v="11530"/>
    <n v="230681.13"/>
    <n v="13896453.720000001"/>
    <n v="4162190.1"/>
    <x v="71"/>
    <n v="24"/>
    <s v="ARCELOR MITTAL"/>
    <x v="4"/>
    <x v="2"/>
  </r>
  <r>
    <n v="367"/>
    <n v="11345"/>
    <n v="152860.99"/>
    <n v="13896453.720000001"/>
    <n v="4162190.1"/>
    <x v="7"/>
    <n v="13"/>
    <s v="ARCELOR MITTAL"/>
    <x v="4"/>
    <x v="2"/>
  </r>
  <r>
    <n v="367"/>
    <n v="11348"/>
    <n v="230681.13"/>
    <n v="13896453.720000001"/>
    <n v="4162190.1"/>
    <x v="72"/>
    <n v="14"/>
    <s v="ARCELOR MITTAL"/>
    <x v="4"/>
    <x v="2"/>
  </r>
  <r>
    <n v="367"/>
    <n v="11411"/>
    <n v="305721.98"/>
    <n v="13896453.720000001"/>
    <n v="4162190.1"/>
    <x v="17"/>
    <n v="18"/>
    <s v="ARCELOR MITTAL"/>
    <x v="4"/>
    <x v="2"/>
  </r>
  <r>
    <n v="367"/>
    <n v="11412"/>
    <n v="305721.98"/>
    <n v="13896453.720000001"/>
    <n v="4162190.1"/>
    <x v="17"/>
    <n v="18"/>
    <s v="ARCELOR MITTAL"/>
    <x v="4"/>
    <x v="2"/>
  </r>
  <r>
    <n v="367"/>
    <n v="11450"/>
    <n v="230681.13"/>
    <n v="13896453.720000001"/>
    <n v="4162190.1"/>
    <x v="73"/>
    <n v="21"/>
    <s v="ARCELOR MITTAL"/>
    <x v="4"/>
    <x v="2"/>
  </r>
  <r>
    <n v="367"/>
    <n v="11451"/>
    <n v="152860.99"/>
    <n v="13896453.720000001"/>
    <n v="4162190.1"/>
    <x v="73"/>
    <n v="21"/>
    <s v="ARCELOR MITTAL"/>
    <x v="4"/>
    <x v="2"/>
  </r>
  <r>
    <n v="367"/>
    <n v="11313"/>
    <n v="305721.98"/>
    <n v="13896453.720000001"/>
    <n v="4162190.1"/>
    <x v="74"/>
    <n v="11"/>
    <s v="ARCELOR MITTAL"/>
    <x v="4"/>
    <x v="2"/>
  </r>
  <r>
    <n v="367"/>
    <n v="11322"/>
    <n v="230681.13"/>
    <n v="13896453.720000001"/>
    <n v="4162190.1"/>
    <x v="14"/>
    <n v="11"/>
    <s v="ARCELOR MITTAL"/>
    <x v="4"/>
    <x v="2"/>
  </r>
  <r>
    <n v="367"/>
    <n v="11329"/>
    <n v="152860.99"/>
    <n v="13896453.720000001"/>
    <n v="4162190.1"/>
    <x v="75"/>
    <n v="12"/>
    <s v="ARCELOR MITTAL"/>
    <x v="4"/>
    <x v="2"/>
  </r>
  <r>
    <n v="367"/>
    <n v="11334"/>
    <n v="230681.13"/>
    <n v="13896453.720000001"/>
    <n v="4162190.1"/>
    <x v="21"/>
    <n v="12"/>
    <s v="ARCELOR MITTAL"/>
    <x v="4"/>
    <x v="2"/>
  </r>
  <r>
    <n v="367"/>
    <n v="11341"/>
    <n v="75040.850000000006"/>
    <n v="13896453.720000001"/>
    <n v="4162190.1"/>
    <x v="76"/>
    <n v="13"/>
    <s v="ARCELOR MITTAL"/>
    <x v="4"/>
    <x v="2"/>
  </r>
  <r>
    <n v="367"/>
    <n v="11342"/>
    <n v="152860.99"/>
    <n v="13896453.720000001"/>
    <n v="4162190.1"/>
    <x v="76"/>
    <n v="13"/>
    <s v="ARCELOR MITTAL"/>
    <x v="4"/>
    <x v="2"/>
  </r>
  <r>
    <n v="368"/>
    <n v="11941"/>
    <n v="71212.740000000005"/>
    <n v="712127.43"/>
    <n v="0"/>
    <x v="49"/>
    <n v="47"/>
    <s v="ARCELOR MITTAL"/>
    <x v="4"/>
    <x v="2"/>
  </r>
  <r>
    <n v="368"/>
    <n v="11946"/>
    <n v="71212.740000000005"/>
    <n v="712127.43"/>
    <n v="0"/>
    <x v="5"/>
    <n v="48"/>
    <s v="ARCELOR MITTAL"/>
    <x v="4"/>
    <x v="2"/>
  </r>
  <r>
    <n v="368"/>
    <n v="12023"/>
    <n v="71212.740000000005"/>
    <n v="712127.43"/>
    <n v="0"/>
    <x v="50"/>
    <n v="51"/>
    <s v="ARCELOR MITTAL"/>
    <x v="4"/>
    <x v="2"/>
  </r>
  <r>
    <n v="368"/>
    <n v="12024"/>
    <n v="71212.740000000005"/>
    <n v="712127.43"/>
    <n v="0"/>
    <x v="50"/>
    <n v="51"/>
    <s v="ARCELOR MITTAL"/>
    <x v="4"/>
    <x v="2"/>
  </r>
  <r>
    <n v="368"/>
    <n v="12037"/>
    <n v="71212.740000000005"/>
    <n v="712127.43"/>
    <n v="0"/>
    <x v="47"/>
    <n v="51"/>
    <s v="ARCELOR MITTAL"/>
    <x v="4"/>
    <x v="2"/>
  </r>
  <r>
    <n v="368"/>
    <n v="12051"/>
    <n v="71212.740000000005"/>
    <n v="712127.43"/>
    <n v="0"/>
    <x v="1"/>
    <n v="52"/>
    <s v="ARCELOR MITTAL"/>
    <x v="4"/>
    <x v="2"/>
  </r>
  <r>
    <n v="368"/>
    <n v="12056"/>
    <n v="71212.740000000005"/>
    <n v="712127.43"/>
    <n v="0"/>
    <x v="2"/>
    <n v="52"/>
    <s v="ARCELOR MITTAL"/>
    <x v="4"/>
    <x v="2"/>
  </r>
  <r>
    <n v="368"/>
    <n v="12060"/>
    <n v="71212.740000000005"/>
    <n v="712127.43"/>
    <n v="0"/>
    <x v="46"/>
    <n v="53"/>
    <s v="ARCELOR MITTAL"/>
    <x v="4"/>
    <x v="2"/>
  </r>
  <r>
    <n v="368"/>
    <n v="12061"/>
    <n v="71212.740000000005"/>
    <n v="712127.43"/>
    <n v="0"/>
    <x v="46"/>
    <n v="53"/>
    <s v="ARCELOR MITTAL"/>
    <x v="4"/>
    <x v="2"/>
  </r>
  <r>
    <n v="368"/>
    <n v="12062"/>
    <n v="71212.740000000005"/>
    <n v="712127.43"/>
    <n v="0"/>
    <x v="46"/>
    <n v="53"/>
    <s v="ARCELOR MITTAL"/>
    <x v="4"/>
    <x v="2"/>
  </r>
  <r>
    <n v="369"/>
    <n v="11462"/>
    <n v="821848.07000000007"/>
    <n v="4076627.31"/>
    <n v="46881.22"/>
    <x v="69"/>
    <n v="21"/>
    <s v="ARCELOR MITTAL"/>
    <x v="4"/>
    <x v="2"/>
  </r>
  <r>
    <n v="369"/>
    <n v="11463"/>
    <n v="821848.07000000007"/>
    <n v="4076627.31"/>
    <n v="46881.22"/>
    <x v="69"/>
    <n v="21"/>
    <s v="ARCELOR MITTAL"/>
    <x v="4"/>
    <x v="2"/>
  </r>
  <r>
    <n v="369"/>
    <n v="11466"/>
    <n v="41173.94"/>
    <n v="4076627.31"/>
    <n v="46881.22"/>
    <x v="70"/>
    <n v="21"/>
    <s v="ARCELOR MITTAL"/>
    <x v="4"/>
    <x v="2"/>
  </r>
  <r>
    <n v="369"/>
    <n v="11468"/>
    <n v="82347.87"/>
    <n v="4076627.31"/>
    <n v="46881.22"/>
    <x v="70"/>
    <n v="21"/>
    <s v="ARCELOR MITTAL"/>
    <x v="4"/>
    <x v="2"/>
  </r>
  <r>
    <n v="369"/>
    <n v="11893"/>
    <n v="82347.87"/>
    <n v="4076627.31"/>
    <n v="46881.22"/>
    <x v="38"/>
    <n v="45"/>
    <s v="ARCELOR MITTAL"/>
    <x v="4"/>
    <x v="2"/>
  </r>
  <r>
    <n v="369"/>
    <n v="11894"/>
    <n v="82347.87"/>
    <n v="4076627.31"/>
    <n v="46881.22"/>
    <x v="38"/>
    <n v="45"/>
    <s v="ARCELOR MITTAL"/>
    <x v="4"/>
    <x v="2"/>
  </r>
  <r>
    <n v="369"/>
    <n v="11895"/>
    <n v="82347.87"/>
    <n v="4076627.31"/>
    <n v="46881.22"/>
    <x v="38"/>
    <n v="45"/>
    <s v="ARCELOR MITTAL"/>
    <x v="4"/>
    <x v="2"/>
  </r>
  <r>
    <n v="369"/>
    <n v="11912"/>
    <n v="82347.87"/>
    <n v="4076627.31"/>
    <n v="46881.22"/>
    <x v="48"/>
    <n v="46"/>
    <s v="ARCELOR MITTAL"/>
    <x v="4"/>
    <x v="2"/>
  </r>
  <r>
    <n v="369"/>
    <n v="11759"/>
    <n v="82347.87"/>
    <n v="4076627.31"/>
    <n v="46881.22"/>
    <x v="58"/>
    <n v="38"/>
    <s v="ARCELOR MITTAL"/>
    <x v="4"/>
    <x v="2"/>
  </r>
  <r>
    <n v="369"/>
    <n v="11806"/>
    <n v="41173.94"/>
    <n v="4076627.31"/>
    <n v="46881.22"/>
    <x v="55"/>
    <n v="40"/>
    <s v="ARCELOR MITTAL"/>
    <x v="4"/>
    <x v="2"/>
  </r>
  <r>
    <n v="369"/>
    <n v="11859"/>
    <n v="82347.87"/>
    <n v="4076627.31"/>
    <n v="46881.22"/>
    <x v="56"/>
    <n v="42"/>
    <s v="ARCELOR MITTAL"/>
    <x v="4"/>
    <x v="2"/>
  </r>
  <r>
    <n v="369"/>
    <n v="11861"/>
    <n v="82347.87"/>
    <n v="4076627.31"/>
    <n v="46881.22"/>
    <x v="51"/>
    <n v="42"/>
    <s v="ARCELOR MITTAL"/>
    <x v="4"/>
    <x v="2"/>
  </r>
  <r>
    <n v="369"/>
    <n v="11879"/>
    <n v="82347.87"/>
    <n v="4076627.31"/>
    <n v="46881.22"/>
    <x v="52"/>
    <n v="44"/>
    <s v="ARCELOR MITTAL"/>
    <x v="4"/>
    <x v="2"/>
  </r>
  <r>
    <n v="369"/>
    <n v="11892"/>
    <n v="82347.87"/>
    <n v="4076627.31"/>
    <n v="46881.22"/>
    <x v="53"/>
    <n v="44"/>
    <s v="ARCELOR MITTAL"/>
    <x v="4"/>
    <x v="2"/>
  </r>
  <r>
    <n v="369"/>
    <n v="11692"/>
    <n v="82347.87"/>
    <n v="4076627.31"/>
    <n v="46881.22"/>
    <x v="61"/>
    <n v="34"/>
    <s v="ARCELOR MITTAL"/>
    <x v="4"/>
    <x v="2"/>
  </r>
  <r>
    <n v="369"/>
    <n v="11693"/>
    <n v="82347.87"/>
    <n v="4076627.31"/>
    <n v="46881.22"/>
    <x v="61"/>
    <n v="34"/>
    <s v="ARCELOR MITTAL"/>
    <x v="4"/>
    <x v="2"/>
  </r>
  <r>
    <n v="369"/>
    <n v="11700"/>
    <n v="41173.94"/>
    <n v="4076627.31"/>
    <n v="46881.22"/>
    <x v="62"/>
    <n v="34"/>
    <s v="ARCELOR MITTAL"/>
    <x v="4"/>
    <x v="2"/>
  </r>
  <r>
    <n v="369"/>
    <n v="11747"/>
    <n v="82347.87"/>
    <n v="4076627.31"/>
    <n v="46881.22"/>
    <x v="57"/>
    <n v="37"/>
    <s v="ARCELOR MITTAL"/>
    <x v="4"/>
    <x v="2"/>
  </r>
  <r>
    <n v="369"/>
    <n v="11749"/>
    <n v="82347.87"/>
    <n v="4076627.31"/>
    <n v="46881.22"/>
    <x v="57"/>
    <n v="37"/>
    <s v="ARCELOR MITTAL"/>
    <x v="4"/>
    <x v="2"/>
  </r>
  <r>
    <n v="369"/>
    <n v="11750"/>
    <n v="41173.94"/>
    <n v="4076627.31"/>
    <n v="46881.22"/>
    <x v="57"/>
    <n v="37"/>
    <s v="ARCELOR MITTAL"/>
    <x v="4"/>
    <x v="2"/>
  </r>
  <r>
    <n v="369"/>
    <n v="11578"/>
    <n v="82347.87"/>
    <n v="4076627.31"/>
    <n v="46881.22"/>
    <x v="66"/>
    <n v="27"/>
    <s v="ARCELOR MITTAL"/>
    <x v="4"/>
    <x v="2"/>
  </r>
  <r>
    <n v="369"/>
    <n v="11590"/>
    <n v="82347.87"/>
    <n v="4076627.31"/>
    <n v="46881.22"/>
    <x v="67"/>
    <n v="28"/>
    <s v="ARCELOR MITTAL"/>
    <x v="4"/>
    <x v="2"/>
  </r>
  <r>
    <n v="369"/>
    <n v="11611"/>
    <n v="39135.620000000003"/>
    <n v="4076627.31"/>
    <n v="46881.22"/>
    <x v="68"/>
    <n v="29"/>
    <s v="ARCELOR MITTAL"/>
    <x v="4"/>
    <x v="2"/>
  </r>
  <r>
    <n v="369"/>
    <n v="11636"/>
    <n v="82347.87"/>
    <n v="4076627.31"/>
    <n v="46881.22"/>
    <x v="59"/>
    <n v="31"/>
    <s v="ARCELOR MITTAL"/>
    <x v="4"/>
    <x v="2"/>
  </r>
  <r>
    <n v="369"/>
    <n v="11668"/>
    <n v="82347.87"/>
    <n v="4076627.31"/>
    <n v="46881.22"/>
    <x v="60"/>
    <n v="32"/>
    <s v="ARCELOR MITTAL"/>
    <x v="4"/>
    <x v="2"/>
  </r>
  <r>
    <n v="369"/>
    <n v="11673"/>
    <n v="82347.87"/>
    <n v="4076627.31"/>
    <n v="46881.22"/>
    <x v="27"/>
    <n v="32"/>
    <s v="ARCELOR MITTAL"/>
    <x v="4"/>
    <x v="2"/>
  </r>
  <r>
    <n v="369"/>
    <n v="11529"/>
    <n v="164695.74"/>
    <n v="4076627.31"/>
    <n v="46881.22"/>
    <x v="71"/>
    <n v="24"/>
    <s v="ARCELOR MITTAL"/>
    <x v="4"/>
    <x v="2"/>
  </r>
  <r>
    <n v="369"/>
    <n v="11530"/>
    <n v="123521.81"/>
    <n v="4076627.31"/>
    <n v="46881.22"/>
    <x v="71"/>
    <n v="24"/>
    <s v="ARCELOR MITTAL"/>
    <x v="4"/>
    <x v="2"/>
  </r>
  <r>
    <n v="369"/>
    <n v="11541"/>
    <n v="82347.87"/>
    <n v="4076627.31"/>
    <n v="46881.22"/>
    <x v="63"/>
    <n v="25"/>
    <s v="ARCELOR MITTAL"/>
    <x v="4"/>
    <x v="2"/>
  </r>
  <r>
    <n v="369"/>
    <n v="11563"/>
    <n v="123521.81"/>
    <n v="4076627.31"/>
    <n v="46881.22"/>
    <x v="64"/>
    <n v="26"/>
    <s v="ARCELOR MITTAL"/>
    <x v="4"/>
    <x v="2"/>
  </r>
  <r>
    <n v="369"/>
    <n v="11577"/>
    <n v="123521.81"/>
    <n v="4076627.31"/>
    <n v="46881.22"/>
    <x v="65"/>
    <n v="27"/>
    <s v="ARCELOR MITTAL"/>
    <x v="4"/>
    <x v="2"/>
  </r>
  <r>
    <n v="371"/>
    <m/>
    <m/>
    <n v="5365.54"/>
    <n v="5365.54"/>
    <x v="0"/>
    <m/>
    <s v="AÇOMEC"/>
    <x v="0"/>
    <x v="0"/>
  </r>
  <r>
    <n v="372"/>
    <n v="11624"/>
    <n v="1097183.8400000001"/>
    <n v="7680286.8799999999"/>
    <n v="0"/>
    <x v="25"/>
    <n v="29"/>
    <s v="BAKER HUGHES DO BRASIL LTDA"/>
    <x v="0"/>
    <x v="0"/>
  </r>
  <r>
    <n v="372"/>
    <n v="11657"/>
    <n v="1097183.8400000001"/>
    <n v="7680286.8799999999"/>
    <n v="0"/>
    <x v="77"/>
    <n v="31"/>
    <s v="BAKER HUGHES DO BRASIL LTDA"/>
    <x v="0"/>
    <x v="0"/>
  </r>
  <r>
    <n v="372"/>
    <n v="11658"/>
    <n v="1097183.8400000001"/>
    <n v="7680286.8799999999"/>
    <n v="0"/>
    <x v="77"/>
    <n v="31"/>
    <s v="BAKER HUGHES DO BRASIL LTDA"/>
    <x v="0"/>
    <x v="0"/>
  </r>
  <r>
    <n v="372"/>
    <n v="11696"/>
    <n v="1097183.8400000001"/>
    <n v="7680286.8799999999"/>
    <n v="0"/>
    <x v="78"/>
    <n v="34"/>
    <s v="BAKER HUGHES DO BRASIL LTDA"/>
    <x v="0"/>
    <x v="0"/>
  </r>
  <r>
    <n v="372"/>
    <n v="11705"/>
    <n v="1097183.8400000001"/>
    <n v="7680286.8799999999"/>
    <n v="0"/>
    <x v="79"/>
    <n v="34"/>
    <s v="BAKER HUGHES DO BRASIL LTDA"/>
    <x v="0"/>
    <x v="0"/>
  </r>
  <r>
    <n v="372"/>
    <n v="11722"/>
    <n v="1097183.8400000001"/>
    <n v="7680286.8799999999"/>
    <n v="0"/>
    <x v="28"/>
    <n v="35"/>
    <s v="BAKER HUGHES DO BRASIL LTDA"/>
    <x v="0"/>
    <x v="0"/>
  </r>
  <r>
    <n v="372"/>
    <n v="11723"/>
    <n v="1097183.8400000001"/>
    <n v="7680286.8799999999"/>
    <n v="0"/>
    <x v="28"/>
    <n v="35"/>
    <s v="BAKER HUGHES DO BRASIL LTDA"/>
    <x v="0"/>
    <x v="0"/>
  </r>
  <r>
    <n v="373"/>
    <n v="11393"/>
    <n v="797273.02"/>
    <n v="1594546.04"/>
    <n v="0"/>
    <x v="80"/>
    <n v="18"/>
    <s v="BAKER HUGHES DO BRASIL LTDA"/>
    <x v="5"/>
    <x v="0"/>
  </r>
  <r>
    <n v="373"/>
    <n v="11410"/>
    <n v="797273.02"/>
    <n v="1594546.04"/>
    <n v="0"/>
    <x v="17"/>
    <n v="18"/>
    <s v="BAKER HUGHES DO BRASIL LTDA"/>
    <x v="5"/>
    <x v="0"/>
  </r>
  <r>
    <n v="379"/>
    <m/>
    <m/>
    <n v="65988.09"/>
    <n v="65988.09"/>
    <x v="0"/>
    <m/>
    <s v="ARCELOR MITTAL"/>
    <x v="0"/>
    <x v="0"/>
  </r>
  <r>
    <n v="38"/>
    <m/>
    <m/>
    <m/>
    <m/>
    <x v="0"/>
    <m/>
    <m/>
    <x v="0"/>
    <x v="0"/>
  </r>
  <r>
    <n v="380"/>
    <m/>
    <m/>
    <n v="1209334.08"/>
    <n v="1209334.08"/>
    <x v="0"/>
    <m/>
    <s v="ARCELOR MITTAL"/>
    <x v="0"/>
    <x v="0"/>
  </r>
  <r>
    <n v="381"/>
    <m/>
    <m/>
    <n v="33808.410000000003"/>
    <n v="33808.410000000003"/>
    <x v="0"/>
    <m/>
    <s v="ARCELOR MITTAL"/>
    <x v="0"/>
    <x v="0"/>
  </r>
  <r>
    <n v="382"/>
    <n v="11429"/>
    <n v="578946.85"/>
    <n v="578946.85"/>
    <n v="0"/>
    <x v="81"/>
    <n v="20"/>
    <s v="TECHNIP AÇÚ-RJ"/>
    <x v="0"/>
    <x v="0"/>
  </r>
  <r>
    <n v="383"/>
    <n v="11327"/>
    <n v="94923.36"/>
    <n v="94923.36"/>
    <n v="0"/>
    <x v="75"/>
    <n v="12"/>
    <s v="TECHNIP AÇÚ-RJ"/>
    <x v="0"/>
    <x v="0"/>
  </r>
  <r>
    <n v="384"/>
    <n v="11327"/>
    <n v="92538.87"/>
    <n v="92538.87"/>
    <n v="0"/>
    <x v="75"/>
    <n v="12"/>
    <s v="TECHNIP AÇÚ-RJ"/>
    <x v="0"/>
    <x v="0"/>
  </r>
  <r>
    <n v="385"/>
    <n v="11429"/>
    <n v="11334.12"/>
    <n v="11334.12"/>
    <n v="0"/>
    <x v="81"/>
    <n v="20"/>
    <s v="TECHNIP AÇÚ-RJ"/>
    <x v="0"/>
    <x v="0"/>
  </r>
  <r>
    <n v="386"/>
    <n v="11430"/>
    <n v="33586.31"/>
    <n v="33586.31"/>
    <n v="0"/>
    <x v="81"/>
    <n v="20"/>
    <s v="TECHNIP AÇÚ-RJ"/>
    <x v="0"/>
    <x v="0"/>
  </r>
  <r>
    <n v="387"/>
    <m/>
    <m/>
    <n v="2200"/>
    <n v="2200"/>
    <x v="0"/>
    <m/>
    <s v="INOVAR SERVIÇOS E MANUTENÇÃO EIRELI"/>
    <x v="0"/>
    <x v="0"/>
  </r>
  <r>
    <n v="388"/>
    <n v="11931"/>
    <n v="423204.04000000004"/>
    <n v="1639531.4"/>
    <n v="2024669.9"/>
    <x v="82"/>
    <n v="46"/>
    <s v="AKER SOLUTIONS PR"/>
    <x v="1"/>
    <x v="1"/>
  </r>
  <r>
    <n v="388"/>
    <n v="11934"/>
    <n v="-423204.04000000004"/>
    <n v="1639531.4"/>
    <n v="2024669.9"/>
    <x v="83"/>
    <n v="47"/>
    <s v="AKER SOLUTIONS PR"/>
    <x v="1"/>
    <x v="1"/>
  </r>
  <r>
    <n v="388"/>
    <n v="11935"/>
    <n v="409882.85000000003"/>
    <n v="1639531.4"/>
    <n v="2024669.9"/>
    <x v="83"/>
    <n v="47"/>
    <s v="AKER SOLUTIONS PR"/>
    <x v="1"/>
    <x v="1"/>
  </r>
  <r>
    <n v="388"/>
    <n v="11938"/>
    <n v="-409882.85000000003"/>
    <n v="1639531.4"/>
    <n v="2024669.9"/>
    <x v="84"/>
    <n v="47"/>
    <s v="AKER SOLUTIONS PR"/>
    <x v="1"/>
    <x v="1"/>
  </r>
  <r>
    <n v="388"/>
    <n v="11949"/>
    <n v="366798.57"/>
    <n v="1639531.4"/>
    <n v="2024669.9"/>
    <x v="39"/>
    <n v="48"/>
    <s v="AKER SOLUTIONS PR"/>
    <x v="1"/>
    <x v="1"/>
  </r>
  <r>
    <n v="388"/>
    <n v="11989"/>
    <n v="-366798.57"/>
    <n v="1639531.4"/>
    <n v="2024669.9"/>
    <x v="85"/>
    <n v="49"/>
    <s v="AKER SOLUTIONS PR"/>
    <x v="1"/>
    <x v="1"/>
  </r>
  <r>
    <n v="388"/>
    <n v="12009"/>
    <n v="-385138.5"/>
    <n v="1639531.4"/>
    <n v="2024669.9"/>
    <x v="86"/>
    <n v="50"/>
    <s v="AKER SOLUTIONS PR"/>
    <x v="1"/>
    <x v="1"/>
  </r>
  <r>
    <n v="389"/>
    <m/>
    <m/>
    <n v="1115675.3999999999"/>
    <n v="1115675.3999999999"/>
    <x v="0"/>
    <m/>
    <s v="AKER SOLUTIONS PR"/>
    <x v="1"/>
    <x v="1"/>
  </r>
  <r>
    <n v="39"/>
    <m/>
    <m/>
    <m/>
    <m/>
    <x v="0"/>
    <m/>
    <m/>
    <x v="0"/>
    <x v="0"/>
  </r>
  <r>
    <n v="390"/>
    <m/>
    <m/>
    <n v="0"/>
    <n v="0"/>
    <x v="0"/>
    <m/>
    <s v="AKER SOLUTIONS PR"/>
    <x v="0"/>
    <x v="0"/>
  </r>
  <r>
    <n v="391"/>
    <m/>
    <m/>
    <n v="895312.12"/>
    <n v="895312.12"/>
    <x v="0"/>
    <m/>
    <s v="NORDEX ENERGY BRASIL"/>
    <x v="2"/>
    <x v="3"/>
  </r>
  <r>
    <n v="392"/>
    <n v="11770"/>
    <n v="474934"/>
    <n v="19885000"/>
    <n v="17985264"/>
    <x v="87"/>
    <n v="38"/>
    <s v="NORDEX ENERGY BRASIL"/>
    <x v="2"/>
    <x v="3"/>
  </r>
  <r>
    <n v="392"/>
    <n v="11815"/>
    <n v="-474934"/>
    <n v="19885000"/>
    <n v="17985264"/>
    <x v="88"/>
    <n v="40"/>
    <s v="NORDEX ENERGY BRASIL"/>
    <x v="2"/>
    <x v="3"/>
  </r>
  <r>
    <n v="392"/>
    <n v="11875"/>
    <n v="474934"/>
    <n v="19885000"/>
    <n v="17985264"/>
    <x v="89"/>
    <n v="43"/>
    <s v="NORDEX ENERGY BRASIL"/>
    <x v="2"/>
    <x v="3"/>
  </r>
  <r>
    <n v="392"/>
    <n v="11983"/>
    <n v="237467"/>
    <n v="19885000"/>
    <n v="17985264"/>
    <x v="85"/>
    <n v="49"/>
    <s v="NORDEX ENERGY BRASIL"/>
    <x v="2"/>
    <x v="3"/>
  </r>
  <r>
    <n v="392"/>
    <n v="12004"/>
    <n v="237467"/>
    <n v="19885000"/>
    <n v="17985264"/>
    <x v="90"/>
    <n v="50"/>
    <s v="NORDEX ENERGY BRASIL"/>
    <x v="2"/>
    <x v="3"/>
  </r>
  <r>
    <n v="392"/>
    <n v="12021"/>
    <n v="237467"/>
    <n v="19885000"/>
    <n v="17985264"/>
    <x v="50"/>
    <n v="51"/>
    <s v="NORDEX ENERGY BRASIL"/>
    <x v="2"/>
    <x v="3"/>
  </r>
  <r>
    <n v="392"/>
    <n v="12035"/>
    <n v="237467"/>
    <n v="19885000"/>
    <n v="17985264"/>
    <x v="47"/>
    <n v="51"/>
    <s v="NORDEX ENERGY BRASIL"/>
    <x v="2"/>
    <x v="3"/>
  </r>
  <r>
    <n v="392"/>
    <n v="12073"/>
    <n v="474934"/>
    <n v="19885000"/>
    <n v="17985264"/>
    <x v="91"/>
    <n v="1"/>
    <s v="NORDEX ENERGY BRASIL"/>
    <x v="2"/>
    <x v="3"/>
  </r>
  <r>
    <n v="393"/>
    <m/>
    <m/>
    <n v="7803.19"/>
    <n v="7803.19"/>
    <x v="0"/>
    <m/>
    <s v="THYSSENKRUPP"/>
    <x v="0"/>
    <x v="0"/>
  </r>
  <r>
    <n v="394"/>
    <n v="11336"/>
    <n v="108565"/>
    <n v="108565"/>
    <n v="108565"/>
    <x v="21"/>
    <n v="12"/>
    <s v="ICON MAQUINAS E EQUIPAMENTOS LTDA"/>
    <x v="0"/>
    <x v="0"/>
  </r>
  <r>
    <n v="394"/>
    <n v="11419"/>
    <n v="-108565"/>
    <n v="108565"/>
    <n v="108565"/>
    <x v="92"/>
    <n v="19"/>
    <s v="ICON MAQUINAS E EQUIPAMENTOS LTDA"/>
    <x v="0"/>
    <x v="0"/>
  </r>
  <r>
    <n v="395"/>
    <n v="11433"/>
    <n v="50799"/>
    <n v="51660"/>
    <n v="861"/>
    <x v="93"/>
    <n v="20"/>
    <s v="BHGE - GE"/>
    <x v="0"/>
    <x v="0"/>
  </r>
  <r>
    <n v="396"/>
    <n v="11470"/>
    <n v="95628.09"/>
    <n v="97248.9"/>
    <n v="1620.81"/>
    <x v="94"/>
    <n v="21"/>
    <s v="BHGE - GE"/>
    <x v="0"/>
    <x v="0"/>
  </r>
  <r>
    <n v="397"/>
    <n v="11434"/>
    <n v="50799"/>
    <n v="51660"/>
    <n v="861"/>
    <x v="93"/>
    <n v="20"/>
    <s v="BHGE - GE"/>
    <x v="0"/>
    <x v="0"/>
  </r>
  <r>
    <n v="398"/>
    <n v="11471"/>
    <n v="95628.09"/>
    <n v="97248.9"/>
    <n v="1620.81"/>
    <x v="94"/>
    <n v="21"/>
    <s v="BHGE - GE"/>
    <x v="0"/>
    <x v="0"/>
  </r>
  <r>
    <n v="399"/>
    <n v="11396"/>
    <n v="51045"/>
    <n v="51660"/>
    <n v="615"/>
    <x v="17"/>
    <n v="18"/>
    <s v="BHGE - GE"/>
    <x v="0"/>
    <x v="0"/>
  </r>
  <r>
    <n v="40"/>
    <m/>
    <m/>
    <n v="36137"/>
    <n v="36137"/>
    <x v="0"/>
    <m/>
    <s v="TECHNIP VITÓRIA-ES"/>
    <x v="0"/>
    <x v="0"/>
  </r>
  <r>
    <n v="400"/>
    <n v="11447"/>
    <n v="95628.09"/>
    <n v="97248.9"/>
    <n v="1620.81"/>
    <x v="95"/>
    <n v="20"/>
    <s v="BHGE - GE"/>
    <x v="0"/>
    <x v="0"/>
  </r>
  <r>
    <n v="401"/>
    <n v="11397"/>
    <n v="51045"/>
    <n v="51660"/>
    <n v="615"/>
    <x v="17"/>
    <n v="18"/>
    <s v="BHGE - GE"/>
    <x v="0"/>
    <x v="0"/>
  </r>
  <r>
    <n v="402"/>
    <n v="11454"/>
    <n v="97248.9"/>
    <n v="97248.9"/>
    <n v="0"/>
    <x v="96"/>
    <n v="21"/>
    <s v="BHGE - GE"/>
    <x v="0"/>
    <x v="0"/>
  </r>
  <r>
    <n v="403"/>
    <n v="11435"/>
    <n v="50799"/>
    <n v="51660"/>
    <n v="861"/>
    <x v="93"/>
    <n v="20"/>
    <s v="BHGE - GE"/>
    <x v="0"/>
    <x v="0"/>
  </r>
  <r>
    <n v="404"/>
    <n v="11455"/>
    <n v="97248.9"/>
    <n v="97248.9"/>
    <n v="0"/>
    <x v="96"/>
    <n v="21"/>
    <s v="BHGE - GE"/>
    <x v="0"/>
    <x v="0"/>
  </r>
  <r>
    <n v="405"/>
    <n v="11398"/>
    <n v="51045"/>
    <n v="51660"/>
    <n v="615"/>
    <x v="17"/>
    <n v="18"/>
    <s v="BHGE - GE"/>
    <x v="0"/>
    <x v="0"/>
  </r>
  <r>
    <n v="406"/>
    <n v="11456"/>
    <n v="97248.9"/>
    <n v="97248.9"/>
    <n v="0"/>
    <x v="96"/>
    <n v="21"/>
    <s v="BHGE - GE"/>
    <x v="0"/>
    <x v="0"/>
  </r>
  <r>
    <n v="407"/>
    <n v="11399"/>
    <n v="51045"/>
    <n v="51660"/>
    <n v="615"/>
    <x v="17"/>
    <n v="18"/>
    <s v="BHGE - GE"/>
    <x v="0"/>
    <x v="0"/>
  </r>
  <r>
    <n v="408"/>
    <n v="11474"/>
    <n v="95628.09"/>
    <n v="97248.9"/>
    <n v="1620.81"/>
    <x v="94"/>
    <n v="21"/>
    <s v="BHGE - GE"/>
    <x v="0"/>
    <x v="0"/>
  </r>
  <r>
    <n v="409"/>
    <n v="11436"/>
    <n v="50799"/>
    <n v="51660"/>
    <n v="861"/>
    <x v="93"/>
    <n v="20"/>
    <s v="BHGE - GE"/>
    <x v="0"/>
    <x v="0"/>
  </r>
  <r>
    <n v="41"/>
    <m/>
    <m/>
    <n v="36137"/>
    <n v="36137"/>
    <x v="0"/>
    <m/>
    <s v="TECHNIP VITÓRIA-ES"/>
    <x v="0"/>
    <x v="0"/>
  </r>
  <r>
    <n v="410"/>
    <n v="11533"/>
    <n v="95628.09"/>
    <n v="97248.9"/>
    <n v="1620.81"/>
    <x v="97"/>
    <n v="24"/>
    <s v="BHGE - GE"/>
    <x v="0"/>
    <x v="0"/>
  </r>
  <r>
    <n v="411"/>
    <n v="11437"/>
    <n v="50799"/>
    <n v="51660"/>
    <n v="861"/>
    <x v="93"/>
    <n v="20"/>
    <s v="BHGE - GE"/>
    <x v="0"/>
    <x v="0"/>
  </r>
  <r>
    <n v="412"/>
    <n v="11490"/>
    <n v="95628.09"/>
    <n v="97248.9"/>
    <n v="1620.81"/>
    <x v="98"/>
    <n v="22"/>
    <s v="BHGE - GE"/>
    <x v="0"/>
    <x v="0"/>
  </r>
  <r>
    <n v="413"/>
    <n v="11558"/>
    <n v="50799"/>
    <n v="51660"/>
    <n v="861"/>
    <x v="99"/>
    <n v="25"/>
    <s v="BHGE - GE"/>
    <x v="1"/>
    <x v="1"/>
  </r>
  <r>
    <n v="414"/>
    <n v="11480"/>
    <n v="95628.09"/>
    <n v="97248.9"/>
    <n v="1620.81"/>
    <x v="94"/>
    <n v="21"/>
    <s v="BHGE - GE"/>
    <x v="0"/>
    <x v="0"/>
  </r>
  <r>
    <n v="415"/>
    <n v="11438"/>
    <n v="50799"/>
    <n v="51660"/>
    <n v="861"/>
    <x v="93"/>
    <n v="20"/>
    <s v="BHGE - GE"/>
    <x v="0"/>
    <x v="0"/>
  </r>
  <r>
    <n v="416"/>
    <n v="11448"/>
    <n v="95628.09"/>
    <n v="97248.9"/>
    <n v="1620.81"/>
    <x v="95"/>
    <n v="20"/>
    <s v="BHGE - GE"/>
    <x v="0"/>
    <x v="0"/>
  </r>
  <r>
    <n v="417"/>
    <n v="11400"/>
    <n v="51045"/>
    <n v="51660"/>
    <n v="615"/>
    <x v="17"/>
    <n v="18"/>
    <s v="BHGE - GE"/>
    <x v="0"/>
    <x v="0"/>
  </r>
  <r>
    <n v="418"/>
    <n v="11491"/>
    <n v="95628.09"/>
    <n v="97248.9"/>
    <n v="1620.81"/>
    <x v="98"/>
    <n v="22"/>
    <s v="BHGE - GE"/>
    <x v="0"/>
    <x v="0"/>
  </r>
  <r>
    <n v="419"/>
    <n v="11439"/>
    <n v="50799"/>
    <n v="51660"/>
    <n v="861"/>
    <x v="93"/>
    <n v="20"/>
    <s v="BHGE - GE"/>
    <x v="0"/>
    <x v="0"/>
  </r>
  <r>
    <n v="42"/>
    <m/>
    <m/>
    <n v="36137"/>
    <n v="36137"/>
    <x v="0"/>
    <m/>
    <s v="TECHNIP VITÓRIA-ES"/>
    <x v="0"/>
    <x v="0"/>
  </r>
  <r>
    <n v="420"/>
    <n v="11479"/>
    <n v="95628.09"/>
    <n v="97248.9"/>
    <n v="1620.81"/>
    <x v="94"/>
    <n v="21"/>
    <s v="BHGE - GE"/>
    <x v="0"/>
    <x v="0"/>
  </r>
  <r>
    <n v="421"/>
    <n v="11440"/>
    <n v="50799"/>
    <n v="51660"/>
    <n v="861"/>
    <x v="93"/>
    <n v="20"/>
    <s v="BHGE - GE"/>
    <x v="0"/>
    <x v="0"/>
  </r>
  <r>
    <n v="422"/>
    <n v="11492"/>
    <n v="95628.09"/>
    <n v="97248.9"/>
    <n v="1620.81"/>
    <x v="98"/>
    <n v="22"/>
    <s v="BHGE - GE"/>
    <x v="0"/>
    <x v="0"/>
  </r>
  <r>
    <n v="423"/>
    <n v="11557"/>
    <n v="50799"/>
    <n v="51660"/>
    <n v="861"/>
    <x v="99"/>
    <n v="25"/>
    <s v="BHGE - GE"/>
    <x v="0"/>
    <x v="0"/>
  </r>
  <r>
    <n v="424"/>
    <n v="11493"/>
    <n v="95628.09"/>
    <n v="97248.9"/>
    <n v="1620.81"/>
    <x v="98"/>
    <n v="22"/>
    <s v="BHGE - GE"/>
    <x v="0"/>
    <x v="0"/>
  </r>
  <r>
    <n v="425"/>
    <n v="11552"/>
    <n v="50799"/>
    <n v="51660"/>
    <n v="861"/>
    <x v="99"/>
    <n v="25"/>
    <s v="BHGE - GE"/>
    <x v="0"/>
    <x v="0"/>
  </r>
  <r>
    <n v="426"/>
    <n v="11472"/>
    <n v="95628.09"/>
    <n v="97248.9"/>
    <n v="1620.81"/>
    <x v="94"/>
    <n v="21"/>
    <s v="BHGE - GE"/>
    <x v="0"/>
    <x v="0"/>
  </r>
  <r>
    <n v="427"/>
    <n v="11401"/>
    <n v="51045"/>
    <n v="51660"/>
    <n v="615"/>
    <x v="17"/>
    <n v="18"/>
    <s v="BHGE - GE"/>
    <x v="0"/>
    <x v="0"/>
  </r>
  <r>
    <n v="428"/>
    <n v="11503"/>
    <n v="50799"/>
    <n v="51660"/>
    <n v="861"/>
    <x v="100"/>
    <n v="23"/>
    <s v="BHGE - GE"/>
    <x v="0"/>
    <x v="0"/>
  </r>
  <r>
    <n v="429"/>
    <n v="11473"/>
    <n v="95628.09"/>
    <n v="97248.9"/>
    <n v="1620.81"/>
    <x v="94"/>
    <n v="21"/>
    <s v="BHGE - GE"/>
    <x v="0"/>
    <x v="0"/>
  </r>
  <r>
    <n v="43"/>
    <m/>
    <m/>
    <n v="15207.550000000001"/>
    <n v="15207.550000000001"/>
    <x v="0"/>
    <m/>
    <s v="TECHNIP VITÓRIA-ES"/>
    <x v="0"/>
    <x v="0"/>
  </r>
  <r>
    <n v="430"/>
    <n v="11494"/>
    <n v="95628.09"/>
    <n v="97248.9"/>
    <n v="1620.81"/>
    <x v="98"/>
    <n v="22"/>
    <s v="BHGE - GE"/>
    <x v="0"/>
    <x v="0"/>
  </r>
  <r>
    <n v="431"/>
    <n v="11504"/>
    <n v="50799"/>
    <n v="51660"/>
    <n v="861"/>
    <x v="100"/>
    <n v="23"/>
    <s v="BHGE - GE"/>
    <x v="0"/>
    <x v="0"/>
  </r>
  <r>
    <n v="432"/>
    <n v="11402"/>
    <n v="51045"/>
    <n v="51660"/>
    <n v="615"/>
    <x v="17"/>
    <n v="18"/>
    <s v="BHGE - GE"/>
    <x v="0"/>
    <x v="0"/>
  </r>
  <r>
    <n v="433"/>
    <n v="11534"/>
    <n v="95628.09"/>
    <n v="97248.9"/>
    <n v="1620.81"/>
    <x v="97"/>
    <n v="24"/>
    <s v="BHGE - GE"/>
    <x v="0"/>
    <x v="0"/>
  </r>
  <r>
    <n v="434"/>
    <n v="11478"/>
    <n v="95628.09"/>
    <n v="97248.9"/>
    <n v="1620.81"/>
    <x v="94"/>
    <n v="21"/>
    <s v="BHGE - GE"/>
    <x v="0"/>
    <x v="0"/>
  </r>
  <r>
    <n v="435"/>
    <n v="11403"/>
    <n v="51045"/>
    <n v="51660"/>
    <n v="615"/>
    <x v="17"/>
    <n v="18"/>
    <s v="BHGE - GE"/>
    <x v="0"/>
    <x v="0"/>
  </r>
  <r>
    <n v="436"/>
    <n v="11505"/>
    <n v="50799"/>
    <n v="51660"/>
    <n v="861"/>
    <x v="100"/>
    <n v="23"/>
    <s v="BHGE - GE"/>
    <x v="0"/>
    <x v="0"/>
  </r>
  <r>
    <n v="437"/>
    <n v="11521"/>
    <n v="95628.09"/>
    <n v="97248.9"/>
    <n v="1620.81"/>
    <x v="100"/>
    <n v="23"/>
    <s v="BHGE - GE"/>
    <x v="0"/>
    <x v="0"/>
  </r>
  <r>
    <n v="438"/>
    <n v="11535"/>
    <n v="95628.09"/>
    <n v="97248.9"/>
    <n v="1620.81"/>
    <x v="97"/>
    <n v="24"/>
    <s v="BHGE - GE"/>
    <x v="0"/>
    <x v="0"/>
  </r>
  <r>
    <n v="439"/>
    <n v="11506"/>
    <n v="50799"/>
    <n v="51660"/>
    <n v="861"/>
    <x v="100"/>
    <n v="23"/>
    <s v="BHGE - GE"/>
    <x v="0"/>
    <x v="0"/>
  </r>
  <r>
    <n v="44"/>
    <m/>
    <m/>
    <n v="13364.28"/>
    <n v="13364.28"/>
    <x v="0"/>
    <m/>
    <s v="TECHNIP VITÓRIA-ES"/>
    <x v="0"/>
    <x v="0"/>
  </r>
  <r>
    <n v="440"/>
    <n v="11536"/>
    <n v="95628.09"/>
    <n v="97248.9"/>
    <n v="1620.81"/>
    <x v="97"/>
    <n v="24"/>
    <s v="BHGE - GE"/>
    <x v="0"/>
    <x v="0"/>
  </r>
  <r>
    <n v="441"/>
    <n v="11441"/>
    <n v="50799"/>
    <n v="51660"/>
    <n v="861"/>
    <x v="93"/>
    <n v="20"/>
    <s v="BHGE - GE"/>
    <x v="0"/>
    <x v="0"/>
  </r>
  <r>
    <n v="442"/>
    <n v="11537"/>
    <n v="95628.09"/>
    <n v="97248.9"/>
    <n v="1620.81"/>
    <x v="97"/>
    <n v="24"/>
    <s v="BHGE - GE"/>
    <x v="0"/>
    <x v="0"/>
  </r>
  <r>
    <n v="443"/>
    <n v="11507"/>
    <n v="50799"/>
    <n v="51660"/>
    <n v="861"/>
    <x v="100"/>
    <n v="23"/>
    <s v="BHGE - GE"/>
    <x v="0"/>
    <x v="0"/>
  </r>
  <r>
    <n v="444"/>
    <n v="11538"/>
    <n v="95628.09"/>
    <n v="97248.9"/>
    <n v="1620.81"/>
    <x v="97"/>
    <n v="24"/>
    <s v="BHGE - GE"/>
    <x v="0"/>
    <x v="0"/>
  </r>
  <r>
    <n v="445"/>
    <n v="11442"/>
    <n v="50799"/>
    <n v="51660"/>
    <n v="861"/>
    <x v="93"/>
    <n v="20"/>
    <s v="BHGE - GE"/>
    <x v="0"/>
    <x v="0"/>
  </r>
  <r>
    <n v="446"/>
    <n v="11508"/>
    <n v="50799"/>
    <n v="51660"/>
    <n v="861"/>
    <x v="100"/>
    <n v="23"/>
    <s v="BHGE - GE"/>
    <x v="0"/>
    <x v="0"/>
  </r>
  <r>
    <n v="447"/>
    <n v="11539"/>
    <n v="95628.09"/>
    <n v="97248.9"/>
    <n v="1620.81"/>
    <x v="97"/>
    <n v="24"/>
    <s v="BHGE - GE"/>
    <x v="0"/>
    <x v="0"/>
  </r>
  <r>
    <n v="448"/>
    <n v="11522"/>
    <n v="95628.09"/>
    <n v="97248.9"/>
    <n v="1620.81"/>
    <x v="100"/>
    <n v="23"/>
    <s v="BHGE - GE"/>
    <x v="0"/>
    <x v="0"/>
  </r>
  <r>
    <n v="449"/>
    <n v="11509"/>
    <n v="50799"/>
    <n v="51660"/>
    <n v="861"/>
    <x v="100"/>
    <n v="23"/>
    <s v="BHGE - GE"/>
    <x v="0"/>
    <x v="0"/>
  </r>
  <r>
    <n v="45"/>
    <m/>
    <m/>
    <n v="13364.28"/>
    <n v="13364.28"/>
    <x v="0"/>
    <m/>
    <s v="TECHNIP VITÓRIA-ES"/>
    <x v="0"/>
    <x v="0"/>
  </r>
  <r>
    <n v="450"/>
    <n v="11641"/>
    <n v="95628.09"/>
    <n v="97248.9"/>
    <n v="1620.81"/>
    <x v="101"/>
    <n v="31"/>
    <s v="BHGE - GE"/>
    <x v="0"/>
    <x v="0"/>
  </r>
  <r>
    <n v="451"/>
    <n v="11510"/>
    <n v="50799"/>
    <n v="51660"/>
    <n v="861"/>
    <x v="100"/>
    <n v="23"/>
    <s v="BHGE - GE"/>
    <x v="0"/>
    <x v="0"/>
  </r>
  <r>
    <n v="452"/>
    <n v="11597"/>
    <n v="95628.09"/>
    <n v="97248.9"/>
    <n v="1620.81"/>
    <x v="102"/>
    <n v="28"/>
    <s v="BHGE - GE"/>
    <x v="0"/>
    <x v="0"/>
  </r>
  <r>
    <n v="453"/>
    <n v="11553"/>
    <n v="50799"/>
    <n v="51660"/>
    <n v="861"/>
    <x v="99"/>
    <n v="25"/>
    <s v="BHGE - GE"/>
    <x v="0"/>
    <x v="0"/>
  </r>
  <r>
    <n v="454"/>
    <n v="11598"/>
    <n v="95628.09"/>
    <n v="97248.9"/>
    <n v="1620.81"/>
    <x v="102"/>
    <n v="28"/>
    <s v="BHGE - GE"/>
    <x v="0"/>
    <x v="0"/>
  </r>
  <r>
    <n v="455"/>
    <n v="11554"/>
    <n v="50799"/>
    <n v="51660"/>
    <n v="861"/>
    <x v="99"/>
    <n v="25"/>
    <s v="BHGE - GE"/>
    <x v="0"/>
    <x v="0"/>
  </r>
  <r>
    <n v="456"/>
    <n v="11642"/>
    <n v="95628.09"/>
    <n v="97248.9"/>
    <n v="1620.81"/>
    <x v="101"/>
    <n v="31"/>
    <s v="BHGE - GE"/>
    <x v="0"/>
    <x v="0"/>
  </r>
  <r>
    <n v="457"/>
    <n v="11730"/>
    <n v="50799"/>
    <n v="51660"/>
    <n v="861"/>
    <x v="103"/>
    <n v="35"/>
    <s v="BHGE - GE"/>
    <x v="1"/>
    <x v="1"/>
  </r>
  <r>
    <n v="458"/>
    <n v="11599"/>
    <n v="95628.09"/>
    <n v="97248.9"/>
    <n v="1620.81"/>
    <x v="102"/>
    <n v="28"/>
    <s v="BHGE - GE"/>
    <x v="0"/>
    <x v="0"/>
  </r>
  <r>
    <n v="459"/>
    <n v="11891"/>
    <n v="95628.09"/>
    <n v="97248.9"/>
    <n v="1620.81"/>
    <x v="104"/>
    <n v="44"/>
    <s v="BHGE - GE"/>
    <x v="1"/>
    <x v="1"/>
  </r>
  <r>
    <n v="46"/>
    <m/>
    <m/>
    <n v="18097.280000000002"/>
    <n v="18097.280000000002"/>
    <x v="0"/>
    <m/>
    <s v="TECHNIP VITÓRIA-ES"/>
    <x v="0"/>
    <x v="0"/>
  </r>
  <r>
    <n v="460"/>
    <n v="11654"/>
    <n v="50799"/>
    <n v="51660"/>
    <n v="861"/>
    <x v="101"/>
    <n v="31"/>
    <s v="BHGE - GE"/>
    <x v="0"/>
    <x v="0"/>
  </r>
  <r>
    <n v="461"/>
    <n v="11556"/>
    <n v="50799"/>
    <n v="51660"/>
    <n v="861"/>
    <x v="99"/>
    <n v="25"/>
    <s v="BHGE - GE"/>
    <x v="0"/>
    <x v="0"/>
  </r>
  <r>
    <n v="462"/>
    <n v="11730"/>
    <n v="50799"/>
    <n v="51660"/>
    <n v="861"/>
    <x v="103"/>
    <n v="35"/>
    <s v="BHGE - GE"/>
    <x v="1"/>
    <x v="1"/>
  </r>
  <r>
    <n v="463"/>
    <n v="11730"/>
    <n v="50799"/>
    <n v="51660"/>
    <n v="861"/>
    <x v="103"/>
    <n v="35"/>
    <s v="BHGE - GE"/>
    <x v="1"/>
    <x v="1"/>
  </r>
  <r>
    <n v="464"/>
    <n v="11511"/>
    <n v="50799"/>
    <n v="51660"/>
    <n v="861"/>
    <x v="100"/>
    <n v="23"/>
    <s v="BHGE - GE"/>
    <x v="0"/>
    <x v="0"/>
  </r>
  <r>
    <n v="465"/>
    <n v="11730"/>
    <n v="50799"/>
    <n v="51660"/>
    <n v="861"/>
    <x v="103"/>
    <n v="35"/>
    <s v="BHGE - GE"/>
    <x v="1"/>
    <x v="1"/>
  </r>
  <r>
    <n v="466"/>
    <n v="11600"/>
    <n v="95628.09"/>
    <n v="97248.9"/>
    <n v="1620.81"/>
    <x v="102"/>
    <n v="28"/>
    <s v="BHGE - GE"/>
    <x v="0"/>
    <x v="0"/>
  </r>
  <r>
    <n v="467"/>
    <n v="11512"/>
    <n v="50799"/>
    <n v="51660"/>
    <n v="861"/>
    <x v="100"/>
    <n v="23"/>
    <s v="BHGE - GE"/>
    <x v="0"/>
    <x v="0"/>
  </r>
  <r>
    <n v="468"/>
    <n v="11730"/>
    <n v="50799"/>
    <n v="51660"/>
    <n v="861"/>
    <x v="103"/>
    <n v="35"/>
    <s v="BHGE - GE"/>
    <x v="1"/>
    <x v="1"/>
  </r>
  <r>
    <n v="469"/>
    <n v="11644"/>
    <n v="95628.09"/>
    <n v="97248.9"/>
    <n v="1620.81"/>
    <x v="101"/>
    <n v="31"/>
    <s v="BHGE - GE"/>
    <x v="0"/>
    <x v="0"/>
  </r>
  <r>
    <n v="47"/>
    <m/>
    <m/>
    <n v="18097.280000000002"/>
    <n v="18097.280000000002"/>
    <x v="0"/>
    <m/>
    <s v="TECHNIP VITÓRIA-ES"/>
    <x v="0"/>
    <x v="0"/>
  </r>
  <r>
    <n v="470"/>
    <n v="11513"/>
    <n v="50799"/>
    <n v="51660"/>
    <n v="861"/>
    <x v="100"/>
    <n v="23"/>
    <s v="BHGE - GE"/>
    <x v="0"/>
    <x v="0"/>
  </r>
  <r>
    <n v="471"/>
    <n v="11514"/>
    <n v="50799"/>
    <n v="51660"/>
    <n v="861"/>
    <x v="100"/>
    <n v="23"/>
    <s v="BHGE - GE"/>
    <x v="0"/>
    <x v="0"/>
  </r>
  <r>
    <n v="472"/>
    <n v="11443"/>
    <n v="50799"/>
    <n v="51660"/>
    <n v="861"/>
    <x v="93"/>
    <n v="20"/>
    <s v="BHGE - GE"/>
    <x v="0"/>
    <x v="0"/>
  </r>
  <r>
    <n v="473"/>
    <n v="11404"/>
    <n v="51045"/>
    <n v="51660"/>
    <n v="615"/>
    <x v="17"/>
    <n v="18"/>
    <s v="BHGE - GE"/>
    <x v="0"/>
    <x v="0"/>
  </r>
  <r>
    <n v="474"/>
    <n v="11601"/>
    <n v="95628.09"/>
    <n v="97248.9"/>
    <n v="1620.81"/>
    <x v="102"/>
    <n v="28"/>
    <s v="BHGE - GE"/>
    <x v="0"/>
    <x v="0"/>
  </r>
  <r>
    <n v="475"/>
    <n v="11444"/>
    <n v="50799"/>
    <n v="51660"/>
    <n v="861"/>
    <x v="93"/>
    <n v="20"/>
    <s v="BHGE - GE"/>
    <x v="0"/>
    <x v="0"/>
  </r>
  <r>
    <n v="476"/>
    <n v="11602"/>
    <n v="95628.09"/>
    <n v="97248.9"/>
    <n v="1620.81"/>
    <x v="102"/>
    <n v="28"/>
    <s v="BHGE - GE"/>
    <x v="0"/>
    <x v="0"/>
  </r>
  <r>
    <n v="477"/>
    <n v="11405"/>
    <n v="51045"/>
    <n v="51660"/>
    <n v="615"/>
    <x v="17"/>
    <n v="18"/>
    <s v="BHGE - GE"/>
    <x v="0"/>
    <x v="0"/>
  </r>
  <r>
    <n v="478"/>
    <n v="11603"/>
    <n v="95628.09"/>
    <n v="97248.9"/>
    <n v="1620.81"/>
    <x v="102"/>
    <n v="28"/>
    <s v="BHGE - GE"/>
    <x v="6"/>
    <x v="0"/>
  </r>
  <r>
    <n v="479"/>
    <n v="11519"/>
    <n v="50799"/>
    <n v="51660"/>
    <n v="861"/>
    <x v="100"/>
    <n v="23"/>
    <s v="BHGE - GE"/>
    <x v="0"/>
    <x v="0"/>
  </r>
  <r>
    <n v="48"/>
    <m/>
    <m/>
    <n v="60172.67"/>
    <n v="60172.67"/>
    <x v="0"/>
    <m/>
    <s v="TECHNIP AÇÚ-RJ"/>
    <x v="0"/>
    <x v="0"/>
  </r>
  <r>
    <n v="480"/>
    <n v="11604"/>
    <n v="95628.09"/>
    <n v="97248.9"/>
    <n v="1620.81"/>
    <x v="102"/>
    <n v="28"/>
    <s v="BHGE - GE"/>
    <x v="0"/>
    <x v="0"/>
  </r>
  <r>
    <n v="481"/>
    <n v="11406"/>
    <n v="51045"/>
    <n v="51660"/>
    <n v="615"/>
    <x v="17"/>
    <n v="18"/>
    <s v="BHGE - GE"/>
    <x v="0"/>
    <x v="0"/>
  </r>
  <r>
    <n v="482"/>
    <n v="11495"/>
    <n v="95628.09"/>
    <n v="97248.9"/>
    <n v="1620.81"/>
    <x v="98"/>
    <n v="22"/>
    <s v="BHGE - GE"/>
    <x v="0"/>
    <x v="0"/>
  </r>
  <r>
    <n v="483"/>
    <n v="11445"/>
    <n v="50799"/>
    <n v="51660"/>
    <n v="861"/>
    <x v="93"/>
    <n v="20"/>
    <s v="BHGE - GE"/>
    <x v="0"/>
    <x v="0"/>
  </r>
  <r>
    <n v="484"/>
    <n v="11646"/>
    <n v="95628.09"/>
    <n v="97248.9"/>
    <n v="1620.81"/>
    <x v="101"/>
    <n v="31"/>
    <s v="BHGE - GE"/>
    <x v="0"/>
    <x v="0"/>
  </r>
  <r>
    <n v="485"/>
    <n v="11515"/>
    <n v="50799"/>
    <n v="51660"/>
    <n v="861"/>
    <x v="100"/>
    <n v="23"/>
    <s v="BHGE - GE"/>
    <x v="0"/>
    <x v="0"/>
  </r>
  <r>
    <n v="486"/>
    <n v="11653"/>
    <n v="95628.09"/>
    <n v="97248.9"/>
    <n v="1620.81"/>
    <x v="101"/>
    <n v="31"/>
    <s v="BHGE - GE"/>
    <x v="1"/>
    <x v="1"/>
  </r>
  <r>
    <n v="487"/>
    <n v="11516"/>
    <n v="50799"/>
    <n v="51660"/>
    <n v="861"/>
    <x v="100"/>
    <n v="23"/>
    <s v="BHGE - GE"/>
    <x v="0"/>
    <x v="0"/>
  </r>
  <r>
    <n v="488"/>
    <n v="11647"/>
    <n v="95628.09"/>
    <n v="97248.9"/>
    <n v="1620.81"/>
    <x v="101"/>
    <n v="31"/>
    <s v="BHGE - GE"/>
    <x v="0"/>
    <x v="0"/>
  </r>
  <r>
    <n v="489"/>
    <n v="11407"/>
    <n v="51045"/>
    <n v="51660"/>
    <n v="615"/>
    <x v="17"/>
    <n v="18"/>
    <s v="BHGE - GE"/>
    <x v="0"/>
    <x v="0"/>
  </r>
  <r>
    <n v="49"/>
    <m/>
    <m/>
    <n v="53865"/>
    <n v="53865"/>
    <x v="0"/>
    <m/>
    <s v="TECHNIP AÇÚ-RJ"/>
    <x v="0"/>
    <x v="0"/>
  </r>
  <r>
    <n v="490"/>
    <n v="11648"/>
    <n v="95628.09"/>
    <n v="97248.9"/>
    <n v="1620.81"/>
    <x v="101"/>
    <n v="31"/>
    <s v="BHGE - GE"/>
    <x v="0"/>
    <x v="0"/>
  </r>
  <r>
    <n v="491"/>
    <n v="11446"/>
    <n v="50799"/>
    <n v="51660"/>
    <n v="861"/>
    <x v="93"/>
    <n v="20"/>
    <s v="BHGE - GE"/>
    <x v="0"/>
    <x v="0"/>
  </r>
  <r>
    <n v="492"/>
    <n v="11649"/>
    <n v="95628.09"/>
    <n v="97248.9"/>
    <n v="1620.81"/>
    <x v="101"/>
    <n v="31"/>
    <s v="BHGE - GE"/>
    <x v="0"/>
    <x v="0"/>
  </r>
  <r>
    <n v="493"/>
    <n v="11517"/>
    <n v="50799"/>
    <n v="51660"/>
    <n v="861"/>
    <x v="100"/>
    <n v="23"/>
    <s v="BHGE - GE"/>
    <x v="0"/>
    <x v="0"/>
  </r>
  <r>
    <n v="494"/>
    <n v="11540"/>
    <n v="95628.09"/>
    <n v="97248.9"/>
    <n v="1620.81"/>
    <x v="97"/>
    <n v="24"/>
    <s v="BHGE - GE"/>
    <x v="0"/>
    <x v="0"/>
  </r>
  <r>
    <n v="495"/>
    <n v="11518"/>
    <n v="50799"/>
    <n v="51660"/>
    <n v="861"/>
    <x v="100"/>
    <n v="23"/>
    <s v="BHGE - GE"/>
    <x v="0"/>
    <x v="0"/>
  </r>
  <r>
    <n v="496"/>
    <n v="11650"/>
    <n v="95628.09"/>
    <n v="97248.9"/>
    <n v="1620.81"/>
    <x v="101"/>
    <n v="31"/>
    <s v="BHGE - GE"/>
    <x v="0"/>
    <x v="0"/>
  </r>
  <r>
    <n v="497"/>
    <n v="11408"/>
    <n v="51045"/>
    <n v="51660"/>
    <n v="615"/>
    <x v="17"/>
    <n v="18"/>
    <s v="BHGE - GE"/>
    <x v="0"/>
    <x v="0"/>
  </r>
  <r>
    <n v="498"/>
    <n v="11651"/>
    <n v="95628.09"/>
    <n v="97248.9"/>
    <n v="1620.81"/>
    <x v="101"/>
    <n v="31"/>
    <s v="BHGE - GE"/>
    <x v="0"/>
    <x v="0"/>
  </r>
  <r>
    <n v="499"/>
    <m/>
    <m/>
    <n v="54289.84"/>
    <n v="54289.84"/>
    <x v="0"/>
    <m/>
    <s v="OLAM AGRICOLA LTDA"/>
    <x v="0"/>
    <x v="0"/>
  </r>
  <r>
    <n v="5"/>
    <m/>
    <m/>
    <n v="53568.030000000006"/>
    <n v="53568.030000000006"/>
    <x v="0"/>
    <m/>
    <s v="TECHNIP AÇÚ-RJ"/>
    <x v="0"/>
    <x v="0"/>
  </r>
  <r>
    <n v="50"/>
    <m/>
    <m/>
    <n v="64419.54"/>
    <n v="64419.54"/>
    <x v="0"/>
    <m/>
    <s v="TECHNIP AÇÚ-RJ"/>
    <x v="0"/>
    <x v="0"/>
  </r>
  <r>
    <n v="500"/>
    <n v="11482"/>
    <n v="331390.39"/>
    <n v="1440827.8"/>
    <n v="0"/>
    <x v="105"/>
    <n v="22"/>
    <s v="OLAM AGRICOLA LTDA"/>
    <x v="7"/>
    <x v="3"/>
  </r>
  <r>
    <n v="500"/>
    <n v="11520"/>
    <n v="590739.4"/>
    <n v="1440827.8"/>
    <n v="0"/>
    <x v="100"/>
    <n v="23"/>
    <s v="OLAM AGRICOLA LTDA"/>
    <x v="7"/>
    <x v="3"/>
  </r>
  <r>
    <n v="500"/>
    <n v="11565"/>
    <n v="201715.89"/>
    <n v="1440827.8"/>
    <n v="0"/>
    <x v="35"/>
    <n v="26"/>
    <s v="OLAM AGRICOLA LTDA"/>
    <x v="7"/>
    <x v="3"/>
  </r>
  <r>
    <n v="500"/>
    <n v="11595"/>
    <n v="43224.83"/>
    <n v="1440827.8"/>
    <n v="0"/>
    <x v="106"/>
    <n v="28"/>
    <s v="OLAM AGRICOLA LTDA"/>
    <x v="7"/>
    <x v="3"/>
  </r>
  <r>
    <n v="500"/>
    <n v="11614"/>
    <n v="273757.28000000003"/>
    <n v="1440827.8"/>
    <n v="0"/>
    <x v="107"/>
    <n v="29"/>
    <s v="OLAM AGRICOLA LTDA"/>
    <x v="7"/>
    <x v="3"/>
  </r>
  <r>
    <n v="501"/>
    <n v="11629"/>
    <n v="588827.4"/>
    <n v="669122.05000000005"/>
    <n v="26764.89"/>
    <x v="108"/>
    <n v="30"/>
    <s v="OLAM AGRICOLA LTDA"/>
    <x v="7"/>
    <x v="3"/>
  </r>
  <r>
    <n v="501"/>
    <n v="11679"/>
    <n v="53529.760000000002"/>
    <n v="669122.05000000005"/>
    <n v="26764.89"/>
    <x v="109"/>
    <n v="33"/>
    <s v="OLAM AGRICOLA LTDA"/>
    <x v="7"/>
    <x v="3"/>
  </r>
  <r>
    <n v="502"/>
    <n v="11594"/>
    <n v="324296.78999999998"/>
    <n v="1409986.03"/>
    <n v="0"/>
    <x v="106"/>
    <n v="28"/>
    <s v="OLAM AGRICOLA LTDA"/>
    <x v="7"/>
    <x v="3"/>
  </r>
  <r>
    <n v="502"/>
    <n v="11616"/>
    <n v="84599.16"/>
    <n v="1409986.03"/>
    <n v="0"/>
    <x v="107"/>
    <n v="29"/>
    <s v="OLAM AGRICOLA LTDA"/>
    <x v="7"/>
    <x v="3"/>
  </r>
  <r>
    <n v="502"/>
    <n v="11617"/>
    <n v="84599.16"/>
    <n v="1409986.03"/>
    <n v="0"/>
    <x v="25"/>
    <n v="29"/>
    <s v="OLAM AGRICOLA LTDA"/>
    <x v="7"/>
    <x v="3"/>
  </r>
  <r>
    <n v="502"/>
    <n v="11630"/>
    <n v="56399.44"/>
    <n v="1409986.03"/>
    <n v="0"/>
    <x v="108"/>
    <n v="30"/>
    <s v="OLAM AGRICOLA LTDA"/>
    <x v="7"/>
    <x v="3"/>
  </r>
  <r>
    <n v="502"/>
    <n v="11637"/>
    <n v="105748.95"/>
    <n v="1409986.03"/>
    <n v="0"/>
    <x v="59"/>
    <n v="31"/>
    <s v="OLAM AGRICOLA LTDA"/>
    <x v="7"/>
    <x v="3"/>
  </r>
  <r>
    <n v="502"/>
    <n v="11670"/>
    <n v="754342.53"/>
    <n v="1409986.03"/>
    <n v="0"/>
    <x v="60"/>
    <n v="32"/>
    <s v="OLAM AGRICOLA LTDA"/>
    <x v="7"/>
    <x v="3"/>
  </r>
  <r>
    <n v="503"/>
    <n v="11817"/>
    <n v="238786.02000000002"/>
    <n v="278583.69"/>
    <n v="39797.67"/>
    <x v="88"/>
    <n v="40"/>
    <s v="OLAM AGRICOLA LTDA"/>
    <x v="7"/>
    <x v="3"/>
  </r>
  <r>
    <n v="504"/>
    <n v="11421"/>
    <n v="172899.34"/>
    <n v="1440827.8"/>
    <n v="0"/>
    <x v="110"/>
    <n v="19"/>
    <s v="OLAM AGRICOLA LTDA"/>
    <x v="7"/>
    <x v="3"/>
  </r>
  <r>
    <n v="504"/>
    <n v="11423"/>
    <n v="115266.22"/>
    <n v="1440827.8"/>
    <n v="0"/>
    <x v="110"/>
    <n v="19"/>
    <s v="OLAM AGRICOLA LTDA"/>
    <x v="7"/>
    <x v="3"/>
  </r>
  <r>
    <n v="504"/>
    <n v="11449"/>
    <n v="331390.39"/>
    <n v="1440827.8"/>
    <n v="0"/>
    <x v="95"/>
    <n v="20"/>
    <s v="OLAM AGRICOLA LTDA"/>
    <x v="7"/>
    <x v="3"/>
  </r>
  <r>
    <n v="504"/>
    <n v="11580"/>
    <n v="43224.83"/>
    <n v="1440827.8"/>
    <n v="0"/>
    <x v="66"/>
    <n v="27"/>
    <s v="OLAM AGRICOLA LTDA"/>
    <x v="7"/>
    <x v="3"/>
  </r>
  <r>
    <n v="504"/>
    <n v="11585"/>
    <n v="691597.34"/>
    <n v="1440827.8"/>
    <n v="0"/>
    <x v="111"/>
    <n v="27"/>
    <s v="OLAM AGRICOLA LTDA"/>
    <x v="7"/>
    <x v="3"/>
  </r>
  <r>
    <n v="504"/>
    <n v="11631"/>
    <n v="43224.83"/>
    <n v="1440827.8"/>
    <n v="0"/>
    <x v="108"/>
    <n v="30"/>
    <s v="OLAM AGRICOLA LTDA"/>
    <x v="7"/>
    <x v="3"/>
  </r>
  <r>
    <n v="504"/>
    <n v="11669"/>
    <n v="28816.560000000001"/>
    <n v="1440827.8"/>
    <n v="0"/>
    <x v="60"/>
    <n v="32"/>
    <s v="OLAM AGRICOLA LTDA"/>
    <x v="7"/>
    <x v="3"/>
  </r>
  <r>
    <n v="504"/>
    <n v="11685"/>
    <n v="14408.28"/>
    <n v="1440827.8"/>
    <n v="0"/>
    <x v="112"/>
    <n v="33"/>
    <s v="OLAM AGRICOLA LTDA"/>
    <x v="7"/>
    <x v="3"/>
  </r>
  <r>
    <n v="505"/>
    <m/>
    <m/>
    <n v="141975"/>
    <n v="141975"/>
    <x v="0"/>
    <m/>
    <s v="VALE S.A."/>
    <x v="0"/>
    <x v="0"/>
  </r>
  <r>
    <n v="506"/>
    <m/>
    <m/>
    <n v="1110270"/>
    <n v="1110270"/>
    <x v="0"/>
    <m/>
    <s v="VALE S.A."/>
    <x v="0"/>
    <x v="0"/>
  </r>
  <r>
    <n v="507"/>
    <m/>
    <m/>
    <n v="1798680"/>
    <n v="1798680"/>
    <x v="0"/>
    <m/>
    <s v="VALE S.A."/>
    <x v="0"/>
    <x v="0"/>
  </r>
  <r>
    <n v="508"/>
    <n v="11498"/>
    <n v="569138.24"/>
    <n v="9505320"/>
    <n v="24857.85"/>
    <x v="113"/>
    <n v="22"/>
    <s v="VALE S.A."/>
    <x v="4"/>
    <x v="2"/>
  </r>
  <r>
    <n v="508"/>
    <n v="11532"/>
    <n v="533162.04"/>
    <n v="9505320"/>
    <n v="24857.85"/>
    <x v="114"/>
    <n v="24"/>
    <s v="VALE S.A."/>
    <x v="4"/>
    <x v="2"/>
  </r>
  <r>
    <n v="508"/>
    <n v="11564"/>
    <n v="533162.04"/>
    <n v="9505320"/>
    <n v="24857.85"/>
    <x v="35"/>
    <n v="26"/>
    <s v="VALE S.A."/>
    <x v="4"/>
    <x v="2"/>
  </r>
  <r>
    <n v="508"/>
    <n v="11574"/>
    <n v="612891.51"/>
    <n v="9505320"/>
    <n v="24857.85"/>
    <x v="115"/>
    <n v="27"/>
    <s v="VALE S.A."/>
    <x v="4"/>
    <x v="2"/>
  </r>
  <r>
    <n v="508"/>
    <n v="11575"/>
    <n v="612891.51"/>
    <n v="9505320"/>
    <n v="24857.85"/>
    <x v="115"/>
    <n v="27"/>
    <s v="VALE S.A."/>
    <x v="4"/>
    <x v="2"/>
  </r>
  <r>
    <n v="508"/>
    <n v="11704"/>
    <n v="29552.9"/>
    <n v="9505320"/>
    <n v="24857.85"/>
    <x v="62"/>
    <n v="34"/>
    <s v="VALE S.A."/>
    <x v="4"/>
    <x v="2"/>
  </r>
  <r>
    <n v="508"/>
    <n v="11788"/>
    <n v="737295.99"/>
    <n v="9505320"/>
    <n v="24857.85"/>
    <x v="116"/>
    <n v="39"/>
    <s v="VALE S.A."/>
    <x v="4"/>
    <x v="2"/>
  </r>
  <r>
    <n v="508"/>
    <n v="11789"/>
    <n v="737295.99"/>
    <n v="9505320"/>
    <n v="24857.85"/>
    <x v="116"/>
    <n v="39"/>
    <s v="VALE S.A."/>
    <x v="4"/>
    <x v="2"/>
  </r>
  <r>
    <n v="508"/>
    <n v="11804"/>
    <n v="737295.99"/>
    <n v="9505320"/>
    <n v="24857.85"/>
    <x v="55"/>
    <n v="40"/>
    <s v="VALE S.A."/>
    <x v="4"/>
    <x v="2"/>
  </r>
  <r>
    <n v="508"/>
    <n v="11581"/>
    <n v="149665.58000000002"/>
    <n v="9505320"/>
    <n v="24857.85"/>
    <x v="66"/>
    <n v="27"/>
    <s v="VALE S.A."/>
    <x v="4"/>
    <x v="2"/>
  </r>
  <r>
    <n v="508"/>
    <n v="11596"/>
    <n v="569138.24"/>
    <n v="9505320"/>
    <n v="24857.85"/>
    <x v="102"/>
    <n v="28"/>
    <s v="VALE S.A."/>
    <x v="4"/>
    <x v="2"/>
  </r>
  <r>
    <n v="508"/>
    <n v="11627"/>
    <n v="1174454.3"/>
    <n v="9505320"/>
    <n v="24857.85"/>
    <x v="117"/>
    <n v="30"/>
    <s v="VALE S.A."/>
    <x v="4"/>
    <x v="2"/>
  </r>
  <r>
    <n v="508"/>
    <n v="11628"/>
    <n v="1174454.3"/>
    <n v="9505320"/>
    <n v="24857.85"/>
    <x v="117"/>
    <n v="30"/>
    <s v="VALE S.A."/>
    <x v="4"/>
    <x v="2"/>
  </r>
  <r>
    <n v="508"/>
    <n v="11701"/>
    <n v="655031.76"/>
    <n v="9505320"/>
    <n v="24857.85"/>
    <x v="62"/>
    <n v="34"/>
    <s v="VALE S.A."/>
    <x v="4"/>
    <x v="2"/>
  </r>
  <r>
    <n v="508"/>
    <n v="11702"/>
    <n v="655031.76"/>
    <n v="9505320"/>
    <n v="24857.85"/>
    <x v="62"/>
    <n v="34"/>
    <s v="VALE S.A."/>
    <x v="4"/>
    <x v="2"/>
  </r>
  <r>
    <n v="509"/>
    <m/>
    <m/>
    <m/>
    <m/>
    <x v="0"/>
    <m/>
    <m/>
    <x v="0"/>
    <x v="0"/>
  </r>
  <r>
    <n v="51"/>
    <m/>
    <m/>
    <n v="61691.22"/>
    <n v="61691.22"/>
    <x v="0"/>
    <m/>
    <s v="TECHNIP AÇÚ-RJ"/>
    <x v="0"/>
    <x v="0"/>
  </r>
  <r>
    <n v="510"/>
    <m/>
    <m/>
    <n v="40705"/>
    <n v="40705"/>
    <x v="0"/>
    <m/>
    <s v="VALE S.A."/>
    <x v="0"/>
    <x v="0"/>
  </r>
  <r>
    <n v="511"/>
    <m/>
    <m/>
    <n v="151032"/>
    <n v="151032"/>
    <x v="0"/>
    <m/>
    <s v="VALE S.A."/>
    <x v="0"/>
    <x v="0"/>
  </r>
  <r>
    <n v="512"/>
    <m/>
    <m/>
    <n v="178190"/>
    <n v="178190"/>
    <x v="0"/>
    <m/>
    <s v="VALE S.A."/>
    <x v="0"/>
    <x v="0"/>
  </r>
  <r>
    <n v="513"/>
    <m/>
    <m/>
    <n v="136560"/>
    <n v="136560"/>
    <x v="0"/>
    <m/>
    <s v="VALE S.A."/>
    <x v="0"/>
    <x v="0"/>
  </r>
  <r>
    <n v="514"/>
    <n v="11634"/>
    <n v="190000"/>
    <n v="190000"/>
    <n v="0"/>
    <x v="118"/>
    <n v="30"/>
    <s v="VALE S.A."/>
    <x v="0"/>
    <x v="0"/>
  </r>
  <r>
    <n v="515"/>
    <m/>
    <m/>
    <n v="418560"/>
    <n v="418560"/>
    <x v="0"/>
    <m/>
    <s v="VALE S.A."/>
    <x v="0"/>
    <x v="0"/>
  </r>
  <r>
    <n v="516"/>
    <n v="11251"/>
    <n v="8271.8700000000008"/>
    <n v="8271.8700000000008"/>
    <n v="0"/>
    <x v="10"/>
    <n v="6"/>
    <s v="TECHNIP AÇÚ-RJ"/>
    <x v="0"/>
    <x v="0"/>
  </r>
  <r>
    <n v="517"/>
    <n v="11550"/>
    <n v="242904.57"/>
    <n v="247021.59"/>
    <n v="4117.0200000000004"/>
    <x v="99"/>
    <n v="25"/>
    <s v="BHGE - GE"/>
    <x v="0"/>
    <x v="0"/>
  </r>
  <r>
    <n v="518"/>
    <n v="11549"/>
    <n v="121452.28"/>
    <n v="123510.8"/>
    <n v="2058.52"/>
    <x v="99"/>
    <n v="25"/>
    <s v="BHGE - GE"/>
    <x v="0"/>
    <x v="0"/>
  </r>
  <r>
    <n v="519"/>
    <n v="11605"/>
    <n v="120347.5"/>
    <n v="122387.29"/>
    <n v="2039.79"/>
    <x v="102"/>
    <n v="28"/>
    <s v="BHGE - GE"/>
    <x v="0"/>
    <x v="0"/>
  </r>
  <r>
    <n v="52"/>
    <m/>
    <m/>
    <n v="15600.02"/>
    <n v="15600.02"/>
    <x v="0"/>
    <m/>
    <s v="UTE GNA I GERAÇÃO DE ENERGIA S.A."/>
    <x v="0"/>
    <x v="0"/>
  </r>
  <r>
    <n v="520"/>
    <n v="11605"/>
    <n v="120347.5"/>
    <n v="122387.29"/>
    <n v="2039.79"/>
    <x v="102"/>
    <n v="28"/>
    <s v="BHGE - GE"/>
    <x v="0"/>
    <x v="0"/>
  </r>
  <r>
    <n v="521"/>
    <n v="11605"/>
    <n v="120347.5"/>
    <n v="122387.29"/>
    <n v="2039.79"/>
    <x v="102"/>
    <n v="28"/>
    <s v="BHGE - GE"/>
    <x v="1"/>
    <x v="1"/>
  </r>
  <r>
    <n v="522"/>
    <m/>
    <m/>
    <m/>
    <m/>
    <x v="0"/>
    <m/>
    <m/>
    <x v="0"/>
    <x v="0"/>
  </r>
  <r>
    <n v="523"/>
    <m/>
    <m/>
    <m/>
    <m/>
    <x v="0"/>
    <m/>
    <m/>
    <x v="0"/>
    <x v="0"/>
  </r>
  <r>
    <n v="524"/>
    <m/>
    <m/>
    <m/>
    <m/>
    <x v="0"/>
    <m/>
    <m/>
    <x v="0"/>
    <x v="0"/>
  </r>
  <r>
    <n v="525"/>
    <m/>
    <m/>
    <m/>
    <m/>
    <x v="0"/>
    <m/>
    <m/>
    <x v="0"/>
    <x v="0"/>
  </r>
  <r>
    <n v="526"/>
    <n v="11730"/>
    <n v="50799"/>
    <n v="51660"/>
    <n v="861"/>
    <x v="103"/>
    <n v="35"/>
    <s v="BHGE - GE"/>
    <x v="1"/>
    <x v="1"/>
  </r>
  <r>
    <n v="527"/>
    <n v="11655"/>
    <n v="95628.09"/>
    <n v="97248.9"/>
    <n v="1620.81"/>
    <x v="101"/>
    <n v="31"/>
    <s v="BHGE - GE"/>
    <x v="0"/>
    <x v="0"/>
  </r>
  <r>
    <n v="528"/>
    <n v="11730"/>
    <n v="50799"/>
    <n v="51660"/>
    <n v="861"/>
    <x v="103"/>
    <n v="35"/>
    <s v="BHGE - GE"/>
    <x v="1"/>
    <x v="1"/>
  </r>
  <r>
    <n v="529"/>
    <n v="11605"/>
    <n v="120347.5"/>
    <n v="122387.29"/>
    <n v="2039.79"/>
    <x v="102"/>
    <n v="28"/>
    <s v="BHGE - GE"/>
    <x v="0"/>
    <x v="0"/>
  </r>
  <r>
    <n v="53"/>
    <m/>
    <m/>
    <n v="74620.350000000006"/>
    <n v="74620.350000000006"/>
    <x v="0"/>
    <m/>
    <s v="BHGE - GE"/>
    <x v="0"/>
    <x v="0"/>
  </r>
  <r>
    <n v="530"/>
    <n v="11724"/>
    <n v="734699.29"/>
    <n v="734699.29"/>
    <n v="0"/>
    <x v="28"/>
    <n v="35"/>
    <s v="TECHNIP AÇÚ-RJ"/>
    <x v="1"/>
    <x v="1"/>
  </r>
  <r>
    <n v="531"/>
    <n v="11733"/>
    <n v="737284.3"/>
    <n v="734699.29"/>
    <n v="1053800.97"/>
    <x v="119"/>
    <n v="36"/>
    <s v="TECHNIP AÇÚ-RJ"/>
    <x v="1"/>
    <x v="1"/>
  </r>
  <r>
    <n v="531"/>
    <n v="11760"/>
    <n v="-737284.3"/>
    <n v="734699.29"/>
    <n v="1053800.97"/>
    <x v="58"/>
    <n v="38"/>
    <s v="TECHNIP AÇÚ-RJ"/>
    <x v="1"/>
    <x v="1"/>
  </r>
  <r>
    <n v="531"/>
    <n v="11760"/>
    <n v="-6777.66"/>
    <n v="734699.29"/>
    <n v="1053800.97"/>
    <x v="58"/>
    <n v="38"/>
    <s v="TECHNIP AÇÚ-RJ"/>
    <x v="1"/>
    <x v="1"/>
  </r>
  <r>
    <n v="531"/>
    <n v="11760"/>
    <n v="-34008.559999999998"/>
    <n v="734699.29"/>
    <n v="1053800.97"/>
    <x v="58"/>
    <n v="38"/>
    <s v="TECHNIP AÇÚ-RJ"/>
    <x v="1"/>
    <x v="1"/>
  </r>
  <r>
    <n v="531"/>
    <n v="11760"/>
    <n v="-139157.73000000001"/>
    <n v="734699.29"/>
    <n v="1053800.97"/>
    <x v="58"/>
    <n v="38"/>
    <s v="TECHNIP AÇÚ-RJ"/>
    <x v="1"/>
    <x v="1"/>
  </r>
  <r>
    <n v="531"/>
    <n v="11760"/>
    <n v="-139157.73000000001"/>
    <n v="734699.29"/>
    <n v="1053800.97"/>
    <x v="58"/>
    <n v="38"/>
    <s v="TECHNIP AÇÚ-RJ"/>
    <x v="1"/>
    <x v="1"/>
  </r>
  <r>
    <n v="532"/>
    <n v="11744"/>
    <n v="734699.29"/>
    <n v="734699.29"/>
    <n v="0"/>
    <x v="120"/>
    <n v="36"/>
    <s v="TECHNIP AÇÚ-RJ"/>
    <x v="1"/>
    <x v="1"/>
  </r>
  <r>
    <n v="533"/>
    <n v="11867"/>
    <n v="737284.3"/>
    <n v="734699.29"/>
    <n v="0"/>
    <x v="37"/>
    <n v="43"/>
    <s v="TECHNIP AÇÚ-RJ"/>
    <x v="1"/>
    <x v="1"/>
  </r>
  <r>
    <n v="534"/>
    <n v="11926"/>
    <n v="737284.3"/>
    <n v="734699.29"/>
    <n v="0"/>
    <x v="121"/>
    <n v="46"/>
    <s v="TECHNIP AÇÚ-RJ"/>
    <x v="1"/>
    <x v="1"/>
  </r>
  <r>
    <n v="535"/>
    <n v="11375"/>
    <n v="57587.92"/>
    <n v="57587.92"/>
    <n v="0"/>
    <x v="30"/>
    <n v="17"/>
    <s v="TECHNIP AÇÚ-RJ"/>
    <x v="0"/>
    <x v="0"/>
  </r>
  <r>
    <n v="536"/>
    <n v="11375"/>
    <n v="57587.92"/>
    <n v="57587.92"/>
    <n v="0"/>
    <x v="30"/>
    <n v="17"/>
    <s v="TECHNIP AÇÚ-RJ"/>
    <x v="0"/>
    <x v="0"/>
  </r>
  <r>
    <n v="537"/>
    <n v="11385"/>
    <n v="57587.92"/>
    <n v="57587.92"/>
    <n v="0"/>
    <x v="16"/>
    <n v="17"/>
    <s v="TECHNIP AÇÚ-RJ"/>
    <x v="0"/>
    <x v="0"/>
  </r>
  <r>
    <n v="538"/>
    <n v="11487"/>
    <n v="57587.92"/>
    <n v="57587.92"/>
    <n v="0"/>
    <x v="122"/>
    <n v="22"/>
    <s v="TECHNIP AÇÚ-RJ"/>
    <x v="0"/>
    <x v="0"/>
  </r>
  <r>
    <n v="539"/>
    <n v="11544"/>
    <n v="57587.92"/>
    <n v="57587.92"/>
    <n v="0"/>
    <x v="123"/>
    <n v="25"/>
    <s v="TECHNIP AÇÚ-RJ"/>
    <x v="0"/>
    <x v="0"/>
  </r>
  <r>
    <n v="54"/>
    <m/>
    <m/>
    <n v="74620.350000000006"/>
    <n v="74620.350000000006"/>
    <x v="0"/>
    <m/>
    <s v="BHGE - GE"/>
    <x v="0"/>
    <x v="0"/>
  </r>
  <r>
    <n v="540"/>
    <n v="11375"/>
    <n v="63619.79"/>
    <n v="63619.79"/>
    <n v="0"/>
    <x v="30"/>
    <n v="17"/>
    <s v="TECHNIP AÇÚ-RJ"/>
    <x v="0"/>
    <x v="0"/>
  </r>
  <r>
    <n v="541"/>
    <n v="11744"/>
    <n v="6777.66"/>
    <n v="6777.66"/>
    <n v="0"/>
    <x v="120"/>
    <n v="36"/>
    <s v="TECHNIP AÇÚ-RJ"/>
    <x v="1"/>
    <x v="1"/>
  </r>
  <r>
    <n v="542"/>
    <n v="11867"/>
    <n v="6777.66"/>
    <n v="6777.66"/>
    <n v="0"/>
    <x v="37"/>
    <n v="43"/>
    <s v="TECHNIP AÇÚ-RJ"/>
    <x v="1"/>
    <x v="1"/>
  </r>
  <r>
    <n v="543"/>
    <n v="11926"/>
    <n v="6777.66"/>
    <n v="6777.66"/>
    <n v="0"/>
    <x v="121"/>
    <n v="46"/>
    <s v="TECHNIP AÇÚ-RJ"/>
    <x v="1"/>
    <x v="1"/>
  </r>
  <r>
    <n v="544"/>
    <n v="11733"/>
    <n v="6777.66"/>
    <n v="6777.66"/>
    <n v="0"/>
    <x v="119"/>
    <n v="36"/>
    <s v="TECHNIP AÇÚ-RJ"/>
    <x v="1"/>
    <x v="1"/>
  </r>
  <r>
    <n v="545"/>
    <n v="11724"/>
    <n v="6777.66"/>
    <n v="6777.66"/>
    <n v="0"/>
    <x v="28"/>
    <n v="35"/>
    <s v="TECHNIP AÇÚ-RJ"/>
    <x v="1"/>
    <x v="1"/>
  </r>
  <r>
    <n v="546"/>
    <n v="11920"/>
    <n v="34008.559999999998"/>
    <n v="34008.559999999998"/>
    <n v="0"/>
    <x v="124"/>
    <n v="46"/>
    <s v="TECHNIP AÇÚ-RJ"/>
    <x v="1"/>
    <x v="1"/>
  </r>
  <r>
    <n v="547"/>
    <n v="11375"/>
    <n v="63619.79"/>
    <n v="63619.79"/>
    <n v="0"/>
    <x v="30"/>
    <n v="17"/>
    <s v="TECHNIP AÇÚ-RJ"/>
    <x v="0"/>
    <x v="0"/>
  </r>
  <r>
    <n v="548"/>
    <n v="11385"/>
    <n v="63619.79"/>
    <n v="63619.79"/>
    <n v="0"/>
    <x v="16"/>
    <n v="17"/>
    <s v="TECHNIP AÇÚ-RJ"/>
    <x v="0"/>
    <x v="0"/>
  </r>
  <r>
    <n v="549"/>
    <n v="11487"/>
    <n v="63619.79"/>
    <n v="63619.79"/>
    <n v="0"/>
    <x v="122"/>
    <n v="22"/>
    <s v="TECHNIP AÇÚ-RJ"/>
    <x v="0"/>
    <x v="0"/>
  </r>
  <r>
    <n v="55"/>
    <m/>
    <m/>
    <n v="74620.350000000006"/>
    <n v="74620.350000000006"/>
    <x v="0"/>
    <m/>
    <s v="BHGE - GE"/>
    <x v="0"/>
    <x v="0"/>
  </r>
  <r>
    <n v="550"/>
    <n v="11544"/>
    <n v="63619.79"/>
    <n v="63619.79"/>
    <n v="0"/>
    <x v="123"/>
    <n v="25"/>
    <s v="TECHNIP AÇÚ-RJ"/>
    <x v="0"/>
    <x v="0"/>
  </r>
  <r>
    <n v="551"/>
    <n v="11725"/>
    <n v="34008.559999999998"/>
    <n v="34008.559999999998"/>
    <n v="0"/>
    <x v="28"/>
    <n v="35"/>
    <s v="TECHNIP AÇÚ-RJ"/>
    <x v="1"/>
    <x v="1"/>
  </r>
  <r>
    <n v="552"/>
    <n v="11745"/>
    <n v="34008.559999999998"/>
    <n v="34008.559999999998"/>
    <n v="0"/>
    <x v="120"/>
    <n v="36"/>
    <s v="TECHNIP AÇÚ-RJ"/>
    <x v="1"/>
    <x v="1"/>
  </r>
  <r>
    <n v="553"/>
    <n v="11733"/>
    <n v="34008.559999999998"/>
    <n v="34008.559999999998"/>
    <n v="0"/>
    <x v="119"/>
    <n v="36"/>
    <s v="TECHNIP AÇÚ-RJ"/>
    <x v="1"/>
    <x v="1"/>
  </r>
  <r>
    <n v="554"/>
    <n v="11866"/>
    <n v="34008.559999999998"/>
    <n v="34008.559999999998"/>
    <n v="0"/>
    <x v="37"/>
    <n v="43"/>
    <s v="TECHNIP AÇÚ-RJ"/>
    <x v="1"/>
    <x v="1"/>
  </r>
  <r>
    <n v="555"/>
    <n v="11357"/>
    <n v="40232.15"/>
    <n v="40232.15"/>
    <n v="0"/>
    <x v="125"/>
    <n v="15"/>
    <s v="TECHNIP AÇÚ-RJ"/>
    <x v="0"/>
    <x v="0"/>
  </r>
  <r>
    <n v="556"/>
    <n v="11357"/>
    <n v="40232.15"/>
    <n v="40232.15"/>
    <n v="0"/>
    <x v="125"/>
    <n v="15"/>
    <s v="TECHNIP AÇÚ-RJ"/>
    <x v="0"/>
    <x v="0"/>
  </r>
  <r>
    <n v="557"/>
    <n v="11357"/>
    <n v="40232.15"/>
    <n v="40232.15"/>
    <n v="0"/>
    <x v="125"/>
    <n v="15"/>
    <s v="TECHNIP AÇÚ-RJ"/>
    <x v="0"/>
    <x v="0"/>
  </r>
  <r>
    <n v="558"/>
    <m/>
    <m/>
    <n v="1164797"/>
    <n v="1164797"/>
    <x v="0"/>
    <m/>
    <s v="VALE S.A."/>
    <x v="0"/>
    <x v="0"/>
  </r>
  <r>
    <n v="559"/>
    <n v="11374"/>
    <n v="98251.1"/>
    <n v="103163.66"/>
    <n v="4912.5600000000004"/>
    <x v="30"/>
    <n v="17"/>
    <s v="AKER SOLUTIONS PR"/>
    <x v="0"/>
    <x v="0"/>
  </r>
  <r>
    <n v="56"/>
    <m/>
    <m/>
    <n v="74620.350000000006"/>
    <n v="74620.350000000006"/>
    <x v="0"/>
    <m/>
    <s v="BHGE - GE"/>
    <x v="0"/>
    <x v="0"/>
  </r>
  <r>
    <n v="560"/>
    <n v="11964"/>
    <n v="68289.069999999992"/>
    <n v="68289.070000000007"/>
    <n v="68289.070000000007"/>
    <x v="126"/>
    <n v="48"/>
    <s v="BHGE - GE"/>
    <x v="1"/>
    <x v="1"/>
  </r>
  <r>
    <n v="560"/>
    <n v="11969"/>
    <n v="-68289.069999999992"/>
    <n v="68289.070000000007"/>
    <n v="68289.070000000007"/>
    <x v="127"/>
    <n v="49"/>
    <s v="BHGE - GE"/>
    <x v="1"/>
    <x v="1"/>
  </r>
  <r>
    <n v="561"/>
    <n v="12002"/>
    <n v="67150.92"/>
    <n v="68289.070000000007"/>
    <n v="1138.1500000000001"/>
    <x v="128"/>
    <n v="50"/>
    <s v="BHGE - GE"/>
    <x v="1"/>
    <x v="1"/>
  </r>
  <r>
    <n v="562"/>
    <n v="11652"/>
    <n v="92925"/>
    <n v="94500"/>
    <n v="1575"/>
    <x v="101"/>
    <n v="31"/>
    <s v="BHGE - GE"/>
    <x v="0"/>
    <x v="0"/>
  </r>
  <r>
    <n v="563"/>
    <m/>
    <m/>
    <n v="94500"/>
    <n v="94500"/>
    <x v="0"/>
    <m/>
    <s v="BHGE - GE"/>
    <x v="1"/>
    <x v="1"/>
  </r>
  <r>
    <n v="564"/>
    <n v="11695"/>
    <n v="82996.53"/>
    <n v="82996.53"/>
    <n v="248989.59"/>
    <x v="61"/>
    <n v="34"/>
    <s v="BHGE - GE"/>
    <x v="1"/>
    <x v="1"/>
  </r>
  <r>
    <n v="564"/>
    <n v="11697"/>
    <n v="-82996.53"/>
    <n v="82996.53"/>
    <n v="248989.59"/>
    <x v="129"/>
    <n v="34"/>
    <s v="BHGE - GE"/>
    <x v="1"/>
    <x v="1"/>
  </r>
  <r>
    <n v="564"/>
    <n v="11697"/>
    <n v="-82996.53"/>
    <n v="82996.53"/>
    <n v="248989.59"/>
    <x v="129"/>
    <n v="34"/>
    <s v="BHGE - GE"/>
    <x v="1"/>
    <x v="1"/>
  </r>
  <r>
    <n v="564"/>
    <n v="11697"/>
    <n v="-82996.53"/>
    <n v="82996.53"/>
    <n v="248989.59"/>
    <x v="129"/>
    <n v="34"/>
    <s v="BHGE - GE"/>
    <x v="1"/>
    <x v="1"/>
  </r>
  <r>
    <n v="565"/>
    <n v="11695"/>
    <n v="82996.53"/>
    <n v="82996.53"/>
    <n v="0"/>
    <x v="61"/>
    <n v="34"/>
    <s v="BHGE - GE"/>
    <x v="1"/>
    <x v="1"/>
  </r>
  <r>
    <n v="566"/>
    <n v="11695"/>
    <n v="82996.53"/>
    <n v="82996.53"/>
    <n v="0"/>
    <x v="61"/>
    <n v="34"/>
    <s v="BHGE - GE"/>
    <x v="1"/>
    <x v="1"/>
  </r>
  <r>
    <n v="567"/>
    <n v="11891"/>
    <n v="95628.09"/>
    <n v="97248.9"/>
    <n v="1620.81"/>
    <x v="104"/>
    <n v="44"/>
    <s v="BHGE - GE"/>
    <x v="1"/>
    <x v="1"/>
  </r>
  <r>
    <n v="568"/>
    <n v="11654"/>
    <n v="50799"/>
    <n v="51660"/>
    <n v="861"/>
    <x v="101"/>
    <n v="31"/>
    <s v="BHGE - GE"/>
    <x v="0"/>
    <x v="0"/>
  </r>
  <r>
    <n v="569"/>
    <n v="11694"/>
    <n v="31555.7"/>
    <n v="31555.7"/>
    <n v="0"/>
    <x v="61"/>
    <n v="34"/>
    <s v="BHGE - GE"/>
    <x v="1"/>
    <x v="1"/>
  </r>
  <r>
    <n v="57"/>
    <m/>
    <m/>
    <n v="74620.350000000006"/>
    <n v="74620.350000000006"/>
    <x v="0"/>
    <m/>
    <s v="BHGE - GE"/>
    <x v="0"/>
    <x v="0"/>
  </r>
  <r>
    <n v="571"/>
    <n v="11672"/>
    <n v="17262.990000000002"/>
    <n v="17262.990000000002"/>
    <n v="0"/>
    <x v="27"/>
    <n v="32"/>
    <s v="TECHNIP AÇÚ-RJ"/>
    <x v="1"/>
    <x v="1"/>
  </r>
  <r>
    <n v="572"/>
    <n v="11672"/>
    <n v="17262.990000000002"/>
    <n v="17262.990000000002"/>
    <n v="0"/>
    <x v="27"/>
    <n v="32"/>
    <s v="TECHNIP AÇÚ-RJ"/>
    <x v="1"/>
    <x v="1"/>
  </r>
  <r>
    <n v="573"/>
    <n v="11662"/>
    <n v="25375.24"/>
    <n v="25375.24"/>
    <n v="0"/>
    <x v="130"/>
    <n v="32"/>
    <s v="TECHNIP AÇÚ-RJ"/>
    <x v="1"/>
    <x v="1"/>
  </r>
  <r>
    <n v="574"/>
    <n v="11662"/>
    <n v="25375.24"/>
    <n v="25375.24"/>
    <n v="0"/>
    <x v="130"/>
    <n v="32"/>
    <s v="TECHNIP AÇÚ-RJ"/>
    <x v="1"/>
    <x v="1"/>
  </r>
  <r>
    <n v="575"/>
    <n v="11662"/>
    <n v="25375.24"/>
    <n v="25375.24"/>
    <n v="0"/>
    <x v="130"/>
    <n v="32"/>
    <s v="TECHNIP AÇÚ-RJ"/>
    <x v="1"/>
    <x v="1"/>
  </r>
  <r>
    <n v="576"/>
    <n v="11662"/>
    <n v="25375.24"/>
    <n v="25375.24"/>
    <n v="0"/>
    <x v="130"/>
    <n v="32"/>
    <s v="TECHNIP AÇÚ-RJ"/>
    <x v="1"/>
    <x v="1"/>
  </r>
  <r>
    <n v="577"/>
    <n v="11769"/>
    <n v="46079.54"/>
    <n v="24162.47"/>
    <n v="0"/>
    <x v="87"/>
    <n v="38"/>
    <s v="TECHNIP AÇÚ-RJ"/>
    <x v="1"/>
    <x v="1"/>
  </r>
  <r>
    <n v="578"/>
    <n v="11769"/>
    <n v="46079.54"/>
    <n v="24162.47"/>
    <n v="0"/>
    <x v="87"/>
    <n v="38"/>
    <s v="TECHNIP AÇÚ-RJ"/>
    <x v="1"/>
    <x v="1"/>
  </r>
  <r>
    <n v="579"/>
    <n v="11687"/>
    <n v="21677.07"/>
    <n v="21677.07"/>
    <n v="0"/>
    <x v="131"/>
    <n v="33"/>
    <s v="TECHNIP AÇÚ-RJ"/>
    <x v="1"/>
    <x v="1"/>
  </r>
  <r>
    <n v="58"/>
    <m/>
    <m/>
    <n v="74620.350000000006"/>
    <n v="74620.350000000006"/>
    <x v="0"/>
    <m/>
    <s v="BHGE - GE"/>
    <x v="0"/>
    <x v="0"/>
  </r>
  <r>
    <n v="580"/>
    <n v="11687"/>
    <n v="21677.07"/>
    <n v="21677.07"/>
    <n v="0"/>
    <x v="131"/>
    <n v="33"/>
    <s v="TECHNIP AÇÚ-RJ"/>
    <x v="1"/>
    <x v="1"/>
  </r>
  <r>
    <n v="581"/>
    <n v="11687"/>
    <n v="21677.07"/>
    <n v="21677.07"/>
    <n v="0"/>
    <x v="131"/>
    <n v="33"/>
    <s v="TECHNIP AÇÚ-RJ"/>
    <x v="1"/>
    <x v="1"/>
  </r>
  <r>
    <n v="582"/>
    <n v="11687"/>
    <n v="21677.07"/>
    <n v="21677.07"/>
    <n v="0"/>
    <x v="131"/>
    <n v="33"/>
    <s v="TECHNIP AÇÚ-RJ"/>
    <x v="1"/>
    <x v="1"/>
  </r>
  <r>
    <n v="583"/>
    <n v="11687"/>
    <n v="21677.07"/>
    <n v="21677.07"/>
    <n v="0"/>
    <x v="131"/>
    <n v="33"/>
    <s v="TECHNIP AÇÚ-RJ"/>
    <x v="1"/>
    <x v="1"/>
  </r>
  <r>
    <n v="584"/>
    <n v="11687"/>
    <n v="21677.07"/>
    <n v="21677.07"/>
    <n v="0"/>
    <x v="131"/>
    <n v="33"/>
    <s v="TECHNIP AÇÚ-RJ"/>
    <x v="1"/>
    <x v="1"/>
  </r>
  <r>
    <n v="585"/>
    <n v="11687"/>
    <n v="21677.07"/>
    <n v="21677.07"/>
    <n v="0"/>
    <x v="131"/>
    <n v="33"/>
    <s v="TECHNIP AÇÚ-RJ"/>
    <x v="1"/>
    <x v="1"/>
  </r>
  <r>
    <n v="586"/>
    <n v="11773"/>
    <n v="72285.040000000008"/>
    <n v="75899.289999999994"/>
    <n v="3614.25"/>
    <x v="132"/>
    <n v="39"/>
    <s v="TECHNIP AÇÚ-RJ"/>
    <x v="1"/>
    <x v="1"/>
  </r>
  <r>
    <n v="587"/>
    <n v="11773"/>
    <n v="72285.040000000008"/>
    <n v="75899.289999999994"/>
    <n v="3614.25"/>
    <x v="132"/>
    <n v="39"/>
    <s v="TECHNIP AÇÚ-RJ"/>
    <x v="1"/>
    <x v="1"/>
  </r>
  <r>
    <n v="588"/>
    <n v="11802"/>
    <n v="29802.74"/>
    <n v="31292.880000000001"/>
    <n v="1490.14"/>
    <x v="55"/>
    <n v="40"/>
    <s v="TECHNIP AÇÚ-RJ"/>
    <x v="1"/>
    <x v="1"/>
  </r>
  <r>
    <n v="589"/>
    <n v="11773"/>
    <n v="29802.74"/>
    <n v="31292.880000000001"/>
    <n v="1490.14"/>
    <x v="132"/>
    <n v="39"/>
    <s v="TECHNIP AÇÚ-RJ"/>
    <x v="1"/>
    <x v="1"/>
  </r>
  <r>
    <n v="590"/>
    <n v="11773"/>
    <n v="29802.74"/>
    <n v="31292.880000000001"/>
    <n v="1490.14"/>
    <x v="132"/>
    <n v="39"/>
    <s v="TECHNIP AÇÚ-RJ"/>
    <x v="1"/>
    <x v="1"/>
  </r>
  <r>
    <n v="591"/>
    <n v="11773"/>
    <n v="29802.74"/>
    <n v="31292.880000000001"/>
    <n v="1490.14"/>
    <x v="132"/>
    <n v="39"/>
    <s v="TECHNIP AÇÚ-RJ"/>
    <x v="1"/>
    <x v="1"/>
  </r>
  <r>
    <n v="592"/>
    <n v="11752"/>
    <n v="75899.290000000008"/>
    <n v="75899.289999999994"/>
    <n v="0"/>
    <x v="133"/>
    <n v="37"/>
    <s v="TECHNIP AÇÚ-RJ"/>
    <x v="1"/>
    <x v="1"/>
  </r>
  <r>
    <n v="593"/>
    <n v="11752"/>
    <n v="31292.880000000001"/>
    <n v="31292.880000000001"/>
    <n v="0"/>
    <x v="133"/>
    <n v="37"/>
    <s v="TECHNIP AÇÚ-RJ"/>
    <x v="1"/>
    <x v="1"/>
  </r>
  <r>
    <n v="594"/>
    <n v="11851"/>
    <n v="77925.59"/>
    <n v="78104.47"/>
    <n v="178.88"/>
    <x v="134"/>
    <n v="41"/>
    <s v="TECHNIP AÇÚ-RJ"/>
    <x v="1"/>
    <x v="1"/>
  </r>
  <r>
    <n v="595"/>
    <n v="11851"/>
    <n v="35478.020000000004"/>
    <n v="33534.519999999997"/>
    <n v="0"/>
    <x v="134"/>
    <n v="41"/>
    <s v="TECHNIP AÇÚ-RJ"/>
    <x v="1"/>
    <x v="1"/>
  </r>
  <r>
    <n v="596"/>
    <n v="11851"/>
    <n v="77925.59"/>
    <n v="78104.47"/>
    <n v="178.88"/>
    <x v="134"/>
    <n v="41"/>
    <s v="TECHNIP AÇÚ-RJ"/>
    <x v="1"/>
    <x v="1"/>
  </r>
  <r>
    <n v="597"/>
    <n v="11851"/>
    <n v="35478.020000000004"/>
    <n v="33534.519999999997"/>
    <n v="0"/>
    <x v="134"/>
    <n v="41"/>
    <s v="TECHNIP AÇÚ-RJ"/>
    <x v="1"/>
    <x v="1"/>
  </r>
  <r>
    <n v="598"/>
    <n v="11851"/>
    <n v="77925.59"/>
    <n v="78104.47"/>
    <n v="178.88"/>
    <x v="134"/>
    <n v="41"/>
    <s v="TECHNIP AÇÚ-RJ"/>
    <x v="1"/>
    <x v="1"/>
  </r>
  <r>
    <n v="599"/>
    <n v="11851"/>
    <n v="35478.020000000004"/>
    <n v="33534.519999999997"/>
    <n v="0"/>
    <x v="134"/>
    <n v="41"/>
    <s v="TECHNIP AÇÚ-RJ"/>
    <x v="1"/>
    <x v="1"/>
  </r>
  <r>
    <n v="6"/>
    <m/>
    <m/>
    <n v="53568.030000000006"/>
    <n v="53568.030000000006"/>
    <x v="0"/>
    <m/>
    <s v="TECHNIP AÇÚ-RJ"/>
    <x v="0"/>
    <x v="0"/>
  </r>
  <r>
    <n v="600"/>
    <m/>
    <m/>
    <n v="17262.990000000002"/>
    <n v="17262.990000000002"/>
    <x v="0"/>
    <m/>
    <s v="TECHNIP AÇÚ-RJ"/>
    <x v="1"/>
    <x v="1"/>
  </r>
  <r>
    <n v="601"/>
    <m/>
    <m/>
    <n v="17262.990000000002"/>
    <n v="17262.990000000002"/>
    <x v="0"/>
    <m/>
    <s v="TECHNIP AÇÚ-RJ"/>
    <x v="1"/>
    <x v="1"/>
  </r>
  <r>
    <n v="602"/>
    <n v="11672"/>
    <n v="17262.990000000002"/>
    <n v="17262.990000000002"/>
    <n v="0"/>
    <x v="27"/>
    <n v="32"/>
    <s v="TECHNIP AÇÚ-RJ"/>
    <x v="1"/>
    <x v="1"/>
  </r>
  <r>
    <n v="603"/>
    <n v="11672"/>
    <n v="17262.990000000002"/>
    <n v="17262.990000000002"/>
    <n v="0"/>
    <x v="27"/>
    <n v="32"/>
    <s v="TECHNIP AÇÚ-RJ"/>
    <x v="1"/>
    <x v="1"/>
  </r>
  <r>
    <n v="604"/>
    <n v="11687"/>
    <n v="21677.07"/>
    <n v="21677.07"/>
    <n v="0"/>
    <x v="131"/>
    <n v="33"/>
    <s v="TECHNIP AÇÚ-RJ"/>
    <x v="1"/>
    <x v="1"/>
  </r>
  <r>
    <n v="605"/>
    <n v="11773"/>
    <n v="72285.040000000008"/>
    <n v="75899.289999999994"/>
    <n v="3614.25"/>
    <x v="132"/>
    <n v="39"/>
    <s v="TECHNIP AÇÚ-RJ"/>
    <x v="1"/>
    <x v="1"/>
  </r>
  <r>
    <n v="606"/>
    <n v="11773"/>
    <n v="72285.040000000008"/>
    <n v="75899.289999999994"/>
    <n v="3614.25"/>
    <x v="132"/>
    <n v="39"/>
    <s v="TECHNIP AÇÚ-RJ"/>
    <x v="1"/>
    <x v="1"/>
  </r>
  <r>
    <n v="607"/>
    <n v="11803"/>
    <n v="101772.20999999999"/>
    <n v="103591.67"/>
    <n v="1819.46"/>
    <x v="55"/>
    <n v="40"/>
    <s v="BHGE - GE"/>
    <x v="1"/>
    <x v="1"/>
  </r>
  <r>
    <n v="608"/>
    <n v="344"/>
    <n v="226689"/>
    <n v="3318540"/>
    <n v="0"/>
    <x v="6"/>
    <n v="48"/>
    <s v="OLAM AGRICOLA LTDA"/>
    <x v="7"/>
    <x v="3"/>
  </r>
  <r>
    <n v="608"/>
    <n v="338"/>
    <n v="799335.64"/>
    <n v="3318540"/>
    <n v="0"/>
    <x v="135"/>
    <n v="42"/>
    <s v="OLAM AGRICOLA LTDA"/>
    <x v="7"/>
    <x v="3"/>
  </r>
  <r>
    <n v="608"/>
    <n v="330"/>
    <n v="450983.58"/>
    <n v="3318540"/>
    <n v="0"/>
    <x v="68"/>
    <n v="29"/>
    <s v="OLAM AGRICOLA LTDA"/>
    <x v="7"/>
    <x v="3"/>
  </r>
  <r>
    <n v="608"/>
    <n v="336"/>
    <n v="1220342.94"/>
    <n v="3318540"/>
    <n v="0"/>
    <x v="136"/>
    <n v="38"/>
    <s v="OLAM AGRICOLA LTDA"/>
    <x v="7"/>
    <x v="3"/>
  </r>
  <r>
    <n v="608"/>
    <n v="333"/>
    <n v="675478.68"/>
    <n v="3318540"/>
    <n v="0"/>
    <x v="137"/>
    <n v="33"/>
    <s v="OLAM AGRICOLA LTDA"/>
    <x v="7"/>
    <x v="3"/>
  </r>
  <r>
    <n v="609"/>
    <n v="11801"/>
    <n v="74261.13"/>
    <n v="75519.789999999994"/>
    <n v="1258.6600000000001"/>
    <x v="55"/>
    <n v="40"/>
    <s v="TECHNIP AÇÚ-RJ"/>
    <x v="1"/>
    <x v="1"/>
  </r>
  <r>
    <n v="61"/>
    <m/>
    <m/>
    <n v="2166.3200000000002"/>
    <n v="2166.3200000000002"/>
    <x v="0"/>
    <m/>
    <s v="TECHNIP AÇÚ-RJ"/>
    <x v="0"/>
    <x v="0"/>
  </r>
  <r>
    <n v="610"/>
    <n v="11801"/>
    <n v="74261.13"/>
    <n v="75519.789999999994"/>
    <n v="1258.6600000000001"/>
    <x v="55"/>
    <n v="40"/>
    <s v="TECHNIP AÇÚ-RJ"/>
    <x v="1"/>
    <x v="1"/>
  </r>
  <r>
    <n v="611"/>
    <n v="11801"/>
    <n v="74261.13"/>
    <n v="75519.789999999994"/>
    <n v="1258.6600000000001"/>
    <x v="55"/>
    <n v="40"/>
    <s v="TECHNIP AÇÚ-RJ"/>
    <x v="1"/>
    <x v="1"/>
  </r>
  <r>
    <n v="612"/>
    <n v="11801"/>
    <n v="74261.13"/>
    <n v="75519.789999999994"/>
    <n v="1258.6600000000001"/>
    <x v="55"/>
    <n v="40"/>
    <s v="TECHNIP AÇÚ-RJ"/>
    <x v="1"/>
    <x v="1"/>
  </r>
  <r>
    <n v="613"/>
    <n v="11853"/>
    <n v="74261.13"/>
    <n v="75519.789999999994"/>
    <n v="1258.6600000000001"/>
    <x v="134"/>
    <n v="41"/>
    <s v="TECHNIP AÇÚ-RJ"/>
    <x v="1"/>
    <x v="1"/>
  </r>
  <r>
    <n v="614"/>
    <n v="11801"/>
    <n v="74261.13"/>
    <n v="75519.789999999994"/>
    <n v="1258.6600000000001"/>
    <x v="55"/>
    <n v="40"/>
    <s v="TECHNIP AÇÚ-RJ"/>
    <x v="1"/>
    <x v="1"/>
  </r>
  <r>
    <n v="615"/>
    <n v="11853"/>
    <n v="74261.13"/>
    <n v="75519.789999999994"/>
    <n v="1258.6600000000001"/>
    <x v="134"/>
    <n v="41"/>
    <s v="TECHNIP AÇÚ-RJ"/>
    <x v="1"/>
    <x v="1"/>
  </r>
  <r>
    <n v="616"/>
    <n v="11853"/>
    <n v="74261.13"/>
    <n v="75519.789999999994"/>
    <n v="1258.6600000000001"/>
    <x v="134"/>
    <n v="41"/>
    <s v="TECHNIP AÇÚ-RJ"/>
    <x v="1"/>
    <x v="1"/>
  </r>
  <r>
    <n v="617"/>
    <n v="11853"/>
    <n v="74261.13"/>
    <n v="75519.789999999994"/>
    <n v="1258.6600000000001"/>
    <x v="134"/>
    <n v="41"/>
    <s v="TECHNIP AÇÚ-RJ"/>
    <x v="1"/>
    <x v="1"/>
  </r>
  <r>
    <n v="618"/>
    <n v="11854"/>
    <n v="74261.13"/>
    <n v="75519.789999999994"/>
    <n v="1258.6600000000001"/>
    <x v="134"/>
    <n v="41"/>
    <s v="TECHNIP AÇÚ-RJ"/>
    <x v="1"/>
    <x v="1"/>
  </r>
  <r>
    <n v="619"/>
    <n v="11854"/>
    <n v="74261.13"/>
    <n v="75519.789999999994"/>
    <n v="1258.6600000000001"/>
    <x v="134"/>
    <n v="41"/>
    <s v="TECHNIP AÇÚ-RJ"/>
    <x v="1"/>
    <x v="1"/>
  </r>
  <r>
    <n v="62"/>
    <m/>
    <m/>
    <n v="5585"/>
    <n v="5585"/>
    <x v="0"/>
    <m/>
    <s v="PRYSMIAN - VILA VELHA "/>
    <x v="0"/>
    <x v="0"/>
  </r>
  <r>
    <n v="620"/>
    <n v="11854"/>
    <n v="74261.13"/>
    <n v="75519.789999999994"/>
    <n v="1258.6600000000001"/>
    <x v="134"/>
    <n v="41"/>
    <s v="TECHNIP AÇÚ-RJ"/>
    <x v="1"/>
    <x v="1"/>
  </r>
  <r>
    <n v="621"/>
    <n v="11854"/>
    <n v="74261.13"/>
    <n v="75519.789999999994"/>
    <n v="1258.6600000000001"/>
    <x v="134"/>
    <n v="41"/>
    <s v="TECHNIP AÇÚ-RJ"/>
    <x v="1"/>
    <x v="1"/>
  </r>
  <r>
    <n v="622"/>
    <n v="11854"/>
    <n v="74261.13"/>
    <n v="75519.789999999994"/>
    <n v="1258.6600000000001"/>
    <x v="134"/>
    <n v="41"/>
    <s v="TECHNIP AÇÚ-RJ"/>
    <x v="1"/>
    <x v="1"/>
  </r>
  <r>
    <n v="623"/>
    <n v="11855"/>
    <n v="74261.13"/>
    <n v="75519.789999999994"/>
    <n v="1258.6600000000001"/>
    <x v="134"/>
    <n v="41"/>
    <s v="TECHNIP AÇÚ-RJ"/>
    <x v="1"/>
    <x v="1"/>
  </r>
  <r>
    <n v="624"/>
    <n v="11855"/>
    <n v="74261.13"/>
    <n v="75519.789999999994"/>
    <n v="1258.6600000000001"/>
    <x v="134"/>
    <n v="41"/>
    <s v="TECHNIP AÇÚ-RJ"/>
    <x v="1"/>
    <x v="1"/>
  </r>
  <r>
    <n v="625"/>
    <n v="11930"/>
    <n v="74261.13"/>
    <n v="75519.789999999994"/>
    <n v="1258.6600000000001"/>
    <x v="82"/>
    <n v="46"/>
    <s v="TECHNIP AÇÚ-RJ"/>
    <x v="1"/>
    <x v="1"/>
  </r>
  <r>
    <n v="626"/>
    <n v="11930"/>
    <n v="74261.13"/>
    <n v="75519.789999999994"/>
    <n v="1258.6600000000001"/>
    <x v="82"/>
    <n v="46"/>
    <s v="TECHNIP AÇÚ-RJ"/>
    <x v="1"/>
    <x v="1"/>
  </r>
  <r>
    <n v="627"/>
    <n v="11855"/>
    <n v="74261.13"/>
    <n v="75519.789999999994"/>
    <n v="1258.6600000000001"/>
    <x v="134"/>
    <n v="41"/>
    <s v="TECHNIP AÇÚ-RJ"/>
    <x v="1"/>
    <x v="1"/>
  </r>
  <r>
    <n v="628"/>
    <n v="11855"/>
    <n v="74261.13"/>
    <n v="75519.789999999994"/>
    <n v="1258.6600000000001"/>
    <x v="134"/>
    <n v="41"/>
    <s v="TECHNIP AÇÚ-RJ"/>
    <x v="1"/>
    <x v="1"/>
  </r>
  <r>
    <n v="629"/>
    <n v="11855"/>
    <n v="74261.13"/>
    <n v="75519.789999999994"/>
    <n v="1258.6600000000001"/>
    <x v="134"/>
    <n v="41"/>
    <s v="TECHNIP AÇÚ-RJ"/>
    <x v="1"/>
    <x v="1"/>
  </r>
  <r>
    <n v="63"/>
    <m/>
    <m/>
    <n v="14120.650000000001"/>
    <n v="14120.650000000001"/>
    <x v="0"/>
    <m/>
    <s v="PRYSMIAN - VILA VELHA "/>
    <x v="0"/>
    <x v="0"/>
  </r>
  <r>
    <n v="630"/>
    <n v="11855"/>
    <n v="74261.13"/>
    <n v="75519.789999999994"/>
    <n v="1258.6600000000001"/>
    <x v="134"/>
    <n v="41"/>
    <s v="TECHNIP AÇÚ-RJ"/>
    <x v="1"/>
    <x v="1"/>
  </r>
  <r>
    <n v="631"/>
    <n v="11855"/>
    <n v="74261.13"/>
    <n v="75519.789999999994"/>
    <n v="1258.6600000000001"/>
    <x v="134"/>
    <n v="41"/>
    <s v="TECHNIP AÇÚ-RJ"/>
    <x v="1"/>
    <x v="1"/>
  </r>
  <r>
    <n v="632"/>
    <n v="11930"/>
    <n v="74261.13"/>
    <n v="75519.789999999994"/>
    <n v="1258.6600000000001"/>
    <x v="82"/>
    <n v="46"/>
    <s v="TECHNIP AÇÚ-RJ"/>
    <x v="1"/>
    <x v="1"/>
  </r>
  <r>
    <n v="633"/>
    <n v="11930"/>
    <n v="74261.13"/>
    <n v="75519.789999999994"/>
    <n v="1258.6600000000001"/>
    <x v="82"/>
    <n v="46"/>
    <s v="TECHNIP AÇÚ-RJ"/>
    <x v="1"/>
    <x v="1"/>
  </r>
  <r>
    <n v="634"/>
    <n v="11785"/>
    <n v="54996.020000000004"/>
    <n v="54996.02"/>
    <n v="0"/>
    <x v="116"/>
    <n v="39"/>
    <s v="TECHNIP AÇÚ-RJ"/>
    <x v="1"/>
    <x v="1"/>
  </r>
  <r>
    <n v="635"/>
    <n v="11791"/>
    <n v="54966.92"/>
    <n v="54764.62"/>
    <n v="0"/>
    <x v="116"/>
    <n v="39"/>
    <s v="TECHNIP AÇÚ-RJ"/>
    <x v="1"/>
    <x v="1"/>
  </r>
  <r>
    <n v="636"/>
    <n v="11786"/>
    <n v="93087.83"/>
    <n v="93087.83"/>
    <n v="0"/>
    <x v="116"/>
    <n v="39"/>
    <s v="TECHNIP AÇÚ-RJ"/>
    <x v="1"/>
    <x v="1"/>
  </r>
  <r>
    <n v="637"/>
    <n v="11787"/>
    <n v="93087.83"/>
    <n v="93087.83"/>
    <n v="0"/>
    <x v="116"/>
    <n v="39"/>
    <s v="TECHNIP AÇÚ-RJ"/>
    <x v="1"/>
    <x v="1"/>
  </r>
  <r>
    <n v="638"/>
    <n v="11733"/>
    <n v="139157.73000000001"/>
    <n v="139157.73000000001"/>
    <n v="0"/>
    <x v="119"/>
    <n v="36"/>
    <s v="TECHNIP AÇÚ-RJ"/>
    <x v="1"/>
    <x v="1"/>
  </r>
  <r>
    <n v="639"/>
    <n v="11826"/>
    <n v="152059.87000000002"/>
    <n v="154637.15"/>
    <n v="2577.2800000000002"/>
    <x v="138"/>
    <n v="40"/>
    <s v="TECHNIP AÇÚ-RJ"/>
    <x v="1"/>
    <x v="1"/>
  </r>
  <r>
    <n v="64"/>
    <m/>
    <m/>
    <n v="16357.17"/>
    <n v="16357.17"/>
    <x v="0"/>
    <m/>
    <s v="PRYSMIAN - VILA VELHA "/>
    <x v="0"/>
    <x v="0"/>
  </r>
  <r>
    <n v="640"/>
    <n v="11733"/>
    <n v="139157.73000000001"/>
    <n v="139157.73000000001"/>
    <n v="0"/>
    <x v="119"/>
    <n v="36"/>
    <s v="TECHNIP AÇÚ-RJ"/>
    <x v="1"/>
    <x v="1"/>
  </r>
  <r>
    <n v="641"/>
    <n v="11825"/>
    <n v="152059.87000000002"/>
    <n v="154637.15"/>
    <n v="2577.2800000000002"/>
    <x v="138"/>
    <n v="40"/>
    <s v="TECHNIP AÇÚ-RJ"/>
    <x v="1"/>
    <x v="1"/>
  </r>
  <r>
    <n v="642"/>
    <n v="11783"/>
    <n v="148273.79"/>
    <n v="1477029.97"/>
    <n v="0"/>
    <x v="139"/>
    <n v="39"/>
    <s v="METSO "/>
    <x v="7"/>
    <x v="3"/>
  </r>
  <r>
    <n v="642"/>
    <n v="11860"/>
    <n v="269193.67"/>
    <n v="1477029.97"/>
    <n v="0"/>
    <x v="51"/>
    <n v="42"/>
    <s v="METSO "/>
    <x v="7"/>
    <x v="3"/>
  </r>
  <r>
    <n v="642"/>
    <n v="11915"/>
    <n v="1059562.5"/>
    <n v="1477029.97"/>
    <n v="0"/>
    <x v="48"/>
    <n v="46"/>
    <s v="METSO "/>
    <x v="7"/>
    <x v="3"/>
  </r>
  <r>
    <n v="643"/>
    <m/>
    <m/>
    <n v="1152.6400000000001"/>
    <n v="1152.6400000000001"/>
    <x v="0"/>
    <m/>
    <s v="METSO "/>
    <x v="7"/>
    <x v="3"/>
  </r>
  <r>
    <n v="646"/>
    <n v="11840"/>
    <n v="16595.43"/>
    <n v="16595.43"/>
    <n v="0"/>
    <x v="140"/>
    <n v="40"/>
    <s v="TECHNIP AÇÚ-RJ"/>
    <x v="1"/>
    <x v="1"/>
  </r>
  <r>
    <n v="647"/>
    <n v="11840"/>
    <n v="16595.43"/>
    <n v="16595.43"/>
    <n v="0"/>
    <x v="140"/>
    <n v="40"/>
    <s v="TECHNIP AÇÚ-RJ"/>
    <x v="1"/>
    <x v="1"/>
  </r>
  <r>
    <n v="648"/>
    <n v="11840"/>
    <n v="16672.48"/>
    <n v="16672.48"/>
    <n v="0"/>
    <x v="140"/>
    <n v="40"/>
    <s v="TECHNIP AÇÚ-RJ"/>
    <x v="1"/>
    <x v="1"/>
  </r>
  <r>
    <n v="649"/>
    <n v="11840"/>
    <n v="16672.48"/>
    <n v="16672.48"/>
    <n v="0"/>
    <x v="140"/>
    <n v="40"/>
    <s v="TECHNIP AÇÚ-RJ"/>
    <x v="1"/>
    <x v="1"/>
  </r>
  <r>
    <n v="65"/>
    <m/>
    <m/>
    <n v="16273.26"/>
    <n v="16273.26"/>
    <x v="0"/>
    <m/>
    <s v="PRYSMIAN - VILA VELHA "/>
    <x v="0"/>
    <x v="0"/>
  </r>
  <r>
    <n v="650"/>
    <n v="11838"/>
    <n v="41947.040000000001"/>
    <n v="42520.35"/>
    <n v="573.30999999999995"/>
    <x v="140"/>
    <n v="40"/>
    <s v="TECHNIP AÇÚ-RJ"/>
    <x v="1"/>
    <x v="1"/>
  </r>
  <r>
    <n v="651"/>
    <n v="11839"/>
    <n v="41947.040000000001"/>
    <n v="42520.35"/>
    <n v="573.30999999999995"/>
    <x v="140"/>
    <n v="40"/>
    <s v="TECHNIP AÇÚ-RJ"/>
    <x v="1"/>
    <x v="1"/>
  </r>
  <r>
    <n v="652"/>
    <n v="11936"/>
    <n v="84988.010000000009"/>
    <n v="84988.01"/>
    <n v="0"/>
    <x v="141"/>
    <n v="47"/>
    <s v="TECHNIP AÇÚ-RJ"/>
    <x v="1"/>
    <x v="1"/>
  </r>
  <r>
    <n v="653"/>
    <n v="11936"/>
    <n v="84988.010000000009"/>
    <n v="84988.01"/>
    <n v="0"/>
    <x v="141"/>
    <n v="47"/>
    <s v="TECHNIP AÇÚ-RJ"/>
    <x v="1"/>
    <x v="1"/>
  </r>
  <r>
    <n v="654"/>
    <n v="11936"/>
    <n v="84988.010000000009"/>
    <n v="84988.01"/>
    <n v="0"/>
    <x v="141"/>
    <n v="47"/>
    <s v="TECHNIP AÇÚ-RJ"/>
    <x v="1"/>
    <x v="1"/>
  </r>
  <r>
    <n v="655"/>
    <n v="11936"/>
    <n v="84988.010000000009"/>
    <n v="84988.01"/>
    <n v="0"/>
    <x v="141"/>
    <n v="47"/>
    <s v="TECHNIP AÇÚ-RJ"/>
    <x v="1"/>
    <x v="1"/>
  </r>
  <r>
    <n v="656"/>
    <n v="11936"/>
    <n v="84988.010000000009"/>
    <n v="84988.01"/>
    <n v="0"/>
    <x v="141"/>
    <n v="47"/>
    <s v="TECHNIP AÇÚ-RJ"/>
    <x v="1"/>
    <x v="1"/>
  </r>
  <r>
    <n v="657"/>
    <n v="12050"/>
    <n v="84988.010000000009"/>
    <n v="84988.01"/>
    <n v="0"/>
    <x v="1"/>
    <n v="52"/>
    <s v="TECHNIP AÇÚ-RJ"/>
    <x v="1"/>
    <x v="1"/>
  </r>
  <r>
    <n v="658"/>
    <n v="11500"/>
    <n v="9069.76"/>
    <n v="9069.76"/>
    <n v="0"/>
    <x v="142"/>
    <n v="23"/>
    <s v="VIMETAL"/>
    <x v="0"/>
    <x v="0"/>
  </r>
  <r>
    <n v="659"/>
    <m/>
    <m/>
    <n v="27558.95"/>
    <n v="27558.95"/>
    <x v="0"/>
    <m/>
    <s v="CALDEX"/>
    <x v="0"/>
    <x v="0"/>
  </r>
  <r>
    <n v="66"/>
    <m/>
    <m/>
    <n v="25654.77"/>
    <n v="25654.77"/>
    <x v="0"/>
    <m/>
    <s v="PRYSMIAN - VILA VELHA "/>
    <x v="0"/>
    <x v="0"/>
  </r>
  <r>
    <n v="660"/>
    <n v="322"/>
    <n v="27558.95"/>
    <n v="27558.95"/>
    <n v="0"/>
    <x v="73"/>
    <n v="21"/>
    <s v="CALDEX"/>
    <x v="0"/>
    <x v="0"/>
  </r>
  <r>
    <n v="661"/>
    <m/>
    <m/>
    <n v="446875.62"/>
    <n v="446875.62"/>
    <x v="0"/>
    <m/>
    <s v="AKER SOLUTIONS PR"/>
    <x v="1"/>
    <x v="1"/>
  </r>
  <r>
    <n v="662"/>
    <m/>
    <m/>
    <n v="446875.62"/>
    <n v="446875.62"/>
    <x v="0"/>
    <m/>
    <s v="AKER SOLUTIONS PR"/>
    <x v="1"/>
    <x v="1"/>
  </r>
  <r>
    <n v="663"/>
    <m/>
    <m/>
    <n v="446875.62"/>
    <n v="446875.62"/>
    <x v="0"/>
    <m/>
    <s v="AKER SOLUTIONS PR"/>
    <x v="1"/>
    <x v="1"/>
  </r>
  <r>
    <n v="664"/>
    <m/>
    <m/>
    <n v="446875.62"/>
    <n v="446875.62"/>
    <x v="0"/>
    <m/>
    <s v="AKER SOLUTIONS PR"/>
    <x v="1"/>
    <x v="1"/>
  </r>
  <r>
    <n v="665"/>
    <n v="11612"/>
    <n v="33740.71"/>
    <n v="33740.71"/>
    <n v="96533.87"/>
    <x v="143"/>
    <n v="29"/>
    <s v="ARCELOR MITTAL"/>
    <x v="0"/>
    <x v="0"/>
  </r>
  <r>
    <n v="665"/>
    <n v="11908"/>
    <n v="-33740.71"/>
    <n v="33740.71"/>
    <n v="96533.87"/>
    <x v="48"/>
    <n v="46"/>
    <s v="ARCELOR MITTAL"/>
    <x v="0"/>
    <x v="0"/>
  </r>
  <r>
    <n v="665"/>
    <n v="11908"/>
    <n v="-62793.16"/>
    <n v="33740.71"/>
    <n v="96533.87"/>
    <x v="48"/>
    <n v="46"/>
    <s v="ARCELOR MITTAL"/>
    <x v="0"/>
    <x v="0"/>
  </r>
  <r>
    <n v="666"/>
    <n v="323"/>
    <n v="21640.560000000001"/>
    <n v="21640.560000000001"/>
    <n v="0"/>
    <x v="71"/>
    <n v="24"/>
    <s v="INDUSTRIA E COMERCIO METALURGICA BROMBERG LTD"/>
    <x v="0"/>
    <x v="0"/>
  </r>
  <r>
    <n v="667"/>
    <m/>
    <m/>
    <n v="5200"/>
    <n v="5200"/>
    <x v="0"/>
    <m/>
    <s v="BNG METALMECANICA LTDA"/>
    <x v="0"/>
    <x v="0"/>
  </r>
  <r>
    <n v="668"/>
    <m/>
    <m/>
    <n v="175265.98"/>
    <n v="175265.98"/>
    <x v="0"/>
    <m/>
    <s v="BHGE - GE"/>
    <x v="1"/>
    <x v="1"/>
  </r>
  <r>
    <n v="669"/>
    <n v="11612"/>
    <n v="62793.16"/>
    <n v="125586.32"/>
    <n v="62793.16"/>
    <x v="143"/>
    <n v="29"/>
    <s v="ARCELOR MITTAL"/>
    <x v="0"/>
    <x v="0"/>
  </r>
  <r>
    <n v="669"/>
    <n v="11613"/>
    <n v="62793.16"/>
    <n v="125586.32"/>
    <n v="62793.16"/>
    <x v="143"/>
    <n v="29"/>
    <s v="ARCELOR MITTAL"/>
    <x v="0"/>
    <x v="0"/>
  </r>
  <r>
    <n v="669"/>
    <n v="11909"/>
    <n v="-62793.16"/>
    <n v="125586.32"/>
    <n v="62793.16"/>
    <x v="48"/>
    <n v="46"/>
    <s v="ARCELOR MITTAL"/>
    <x v="0"/>
    <x v="0"/>
  </r>
  <r>
    <n v="670"/>
    <n v="11978"/>
    <n v="82605.27"/>
    <n v="84005.36"/>
    <n v="1400.09"/>
    <x v="144"/>
    <n v="49"/>
    <s v="BHGE - GE"/>
    <x v="1"/>
    <x v="1"/>
  </r>
  <r>
    <n v="671"/>
    <m/>
    <m/>
    <n v="84005.36"/>
    <n v="84005.36"/>
    <x v="0"/>
    <m/>
    <s v="BHGE - GE"/>
    <x v="1"/>
    <x v="1"/>
  </r>
  <r>
    <n v="672"/>
    <m/>
    <m/>
    <n v="41061.230000000003"/>
    <n v="41061.230000000003"/>
    <x v="0"/>
    <m/>
    <s v="BHGE - GE"/>
    <x v="1"/>
    <x v="1"/>
  </r>
  <r>
    <n v="673"/>
    <m/>
    <m/>
    <n v="41061.230000000003"/>
    <n v="41061.230000000003"/>
    <x v="0"/>
    <m/>
    <s v="BHGE - GE"/>
    <x v="1"/>
    <x v="1"/>
  </r>
  <r>
    <n v="674"/>
    <n v="324"/>
    <n v="45989.13"/>
    <n v="45986.13"/>
    <n v="0"/>
    <x v="99"/>
    <n v="25"/>
    <s v="INDUSTRIA E COMERCIO METALURGICA BROMBERG LTD"/>
    <x v="0"/>
    <x v="0"/>
  </r>
  <r>
    <n v="675"/>
    <n v="12032"/>
    <n v="503780.37"/>
    <n v="512413.52"/>
    <n v="8633.15"/>
    <x v="145"/>
    <n v="51"/>
    <s v="BHGE - GE"/>
    <x v="1"/>
    <x v="1"/>
  </r>
  <r>
    <n v="676"/>
    <n v="11977"/>
    <n v="86699.73000000001"/>
    <n v="264507.64"/>
    <n v="177807.91"/>
    <x v="144"/>
    <n v="49"/>
    <s v="BHGE - GE"/>
    <x v="1"/>
    <x v="1"/>
  </r>
  <r>
    <n v="677"/>
    <n v="12032"/>
    <n v="167926.78999999998"/>
    <n v="170804.51"/>
    <n v="2877.72"/>
    <x v="145"/>
    <n v="51"/>
    <s v="BHGE - GE"/>
    <x v="1"/>
    <x v="1"/>
  </r>
  <r>
    <n v="678"/>
    <n v="12005"/>
    <n v="86699.930000000008"/>
    <n v="88169.21"/>
    <n v="1469.28"/>
    <x v="86"/>
    <n v="50"/>
    <s v="BHGE - GE"/>
    <x v="1"/>
    <x v="1"/>
  </r>
  <r>
    <n v="679"/>
    <n v="12031"/>
    <n v="167957.77"/>
    <n v="170804.51"/>
    <n v="2846.74"/>
    <x v="145"/>
    <n v="51"/>
    <s v="BHGE - GE"/>
    <x v="1"/>
    <x v="1"/>
  </r>
  <r>
    <n v="68"/>
    <m/>
    <m/>
    <n v="56250.560000000005"/>
    <n v="56250.560000000005"/>
    <x v="0"/>
    <m/>
    <s v="PRYSMIAN - VILA VELHA "/>
    <x v="0"/>
    <x v="0"/>
  </r>
  <r>
    <n v="680"/>
    <n v="11974"/>
    <n v="86699.73000000001"/>
    <n v="88169.21"/>
    <n v="1469.48"/>
    <x v="144"/>
    <n v="49"/>
    <s v="BHGE - GE"/>
    <x v="1"/>
    <x v="1"/>
  </r>
  <r>
    <n v="681"/>
    <n v="12031"/>
    <n v="335915.52999999997"/>
    <n v="341609.02"/>
    <n v="5693.49"/>
    <x v="145"/>
    <n v="51"/>
    <s v="BHGE - GE"/>
    <x v="1"/>
    <x v="1"/>
  </r>
  <r>
    <n v="682"/>
    <n v="11974"/>
    <n v="173399.45"/>
    <n v="176338.43"/>
    <n v="2938.98"/>
    <x v="144"/>
    <n v="49"/>
    <s v="BHGE - GE"/>
    <x v="1"/>
    <x v="1"/>
  </r>
  <r>
    <n v="683"/>
    <n v="11974"/>
    <n v="173399.45"/>
    <n v="88169.21"/>
    <n v="0"/>
    <x v="144"/>
    <n v="49"/>
    <s v="BHGE - GE"/>
    <x v="1"/>
    <x v="1"/>
  </r>
  <r>
    <n v="684"/>
    <m/>
    <m/>
    <n v="88169.21"/>
    <n v="88169.21"/>
    <x v="0"/>
    <m/>
    <s v="BHGE - GE"/>
    <x v="1"/>
    <x v="1"/>
  </r>
  <r>
    <n v="685"/>
    <n v="325"/>
    <n v="80000"/>
    <n v="20000"/>
    <n v="0"/>
    <x v="99"/>
    <n v="25"/>
    <s v="CALDEX"/>
    <x v="1"/>
    <x v="1"/>
  </r>
  <r>
    <n v="686"/>
    <m/>
    <m/>
    <n v="20000"/>
    <n v="20000"/>
    <x v="0"/>
    <m/>
    <s v="CALDEX"/>
    <x v="0"/>
    <x v="0"/>
  </r>
  <r>
    <n v="687"/>
    <m/>
    <m/>
    <n v="20000"/>
    <n v="20000"/>
    <x v="0"/>
    <m/>
    <s v="CALDEX"/>
    <x v="0"/>
    <x v="0"/>
  </r>
  <r>
    <n v="688"/>
    <m/>
    <m/>
    <n v="20000"/>
    <n v="20000"/>
    <x v="0"/>
    <m/>
    <s v="CALDEX"/>
    <x v="0"/>
    <x v="0"/>
  </r>
  <r>
    <n v="689"/>
    <n v="11889"/>
    <n v="25366.54"/>
    <n v="25366.54"/>
    <n v="0"/>
    <x v="104"/>
    <n v="44"/>
    <s v="BHGE - GE"/>
    <x v="1"/>
    <x v="1"/>
  </r>
  <r>
    <n v="69"/>
    <m/>
    <m/>
    <n v="56250.560000000005"/>
    <n v="56250.560000000005"/>
    <x v="0"/>
    <m/>
    <s v="PRYSMIAN - VILA VELHA "/>
    <x v="0"/>
    <x v="0"/>
  </r>
  <r>
    <n v="690"/>
    <n v="11889"/>
    <n v="25366.54"/>
    <n v="25366.54"/>
    <n v="0"/>
    <x v="104"/>
    <n v="44"/>
    <s v="BHGE - GE"/>
    <x v="1"/>
    <x v="1"/>
  </r>
  <r>
    <n v="691"/>
    <n v="11774"/>
    <n v="16695.57"/>
    <n v="16978.54"/>
    <n v="16978.54"/>
    <x v="132"/>
    <n v="39"/>
    <s v="BAKER HUGHES ENERGY TECHNOLOGY DO BRASIL"/>
    <x v="7"/>
    <x v="3"/>
  </r>
  <r>
    <n v="691"/>
    <n v="11800"/>
    <n v="-16695.57"/>
    <n v="16978.54"/>
    <n v="16978.54"/>
    <x v="116"/>
    <n v="39"/>
    <s v="BAKER HUGHES ENERGY TECHNOLOGY DO BRASIL"/>
    <x v="7"/>
    <x v="3"/>
  </r>
  <r>
    <n v="692"/>
    <n v="11774"/>
    <n v="7676.3"/>
    <n v="7676.3"/>
    <n v="7676.3"/>
    <x v="132"/>
    <n v="39"/>
    <s v="BAKER HUGHES ENERGY TECHNOLOGY DO BRASIL"/>
    <x v="7"/>
    <x v="3"/>
  </r>
  <r>
    <n v="692"/>
    <n v="11800"/>
    <n v="-7676.3"/>
    <n v="7676.3"/>
    <n v="7676.3"/>
    <x v="116"/>
    <n v="39"/>
    <s v="BAKER HUGHES ENERGY TECHNOLOGY DO BRASIL"/>
    <x v="7"/>
    <x v="3"/>
  </r>
  <r>
    <n v="692"/>
    <n v="11945"/>
    <n v="7676.3"/>
    <n v="7676.3"/>
    <n v="7676.3"/>
    <x v="5"/>
    <n v="48"/>
    <s v="BAKER HUGHES ENERGY TECHNOLOGY DO BRASIL"/>
    <x v="7"/>
    <x v="3"/>
  </r>
  <r>
    <n v="692"/>
    <n v="11955"/>
    <n v="-7676.3"/>
    <n v="7676.3"/>
    <n v="7676.3"/>
    <x v="6"/>
    <n v="48"/>
    <s v="BAKER HUGHES ENERGY TECHNOLOGY DO BRASIL"/>
    <x v="7"/>
    <x v="3"/>
  </r>
  <r>
    <n v="693"/>
    <n v="11774"/>
    <n v="126399.91"/>
    <n v="126399.91"/>
    <n v="126399.91"/>
    <x v="132"/>
    <n v="39"/>
    <s v="BAKER HUGHES ENERGY TECHNOLOGY DO BRASIL"/>
    <x v="7"/>
    <x v="3"/>
  </r>
  <r>
    <n v="693"/>
    <n v="11800"/>
    <n v="-126399.91"/>
    <n v="126399.91"/>
    <n v="126399.91"/>
    <x v="116"/>
    <n v="39"/>
    <s v="BAKER HUGHES ENERGY TECHNOLOGY DO BRASIL"/>
    <x v="7"/>
    <x v="3"/>
  </r>
  <r>
    <n v="694"/>
    <n v="11774"/>
    <n v="16695.57"/>
    <n v="16695.57"/>
    <n v="16695.57"/>
    <x v="132"/>
    <n v="39"/>
    <s v="BAKER HUGHES ENERGY TECHNOLOGY DO BRASIL"/>
    <x v="7"/>
    <x v="3"/>
  </r>
  <r>
    <n v="694"/>
    <n v="11800"/>
    <n v="-16695.57"/>
    <n v="16695.57"/>
    <n v="16695.57"/>
    <x v="116"/>
    <n v="39"/>
    <s v="BAKER HUGHES ENERGY TECHNOLOGY DO BRASIL"/>
    <x v="7"/>
    <x v="3"/>
  </r>
  <r>
    <n v="695"/>
    <n v="11625"/>
    <n v="39545.46"/>
    <n v="39545.46"/>
    <n v="0"/>
    <x v="25"/>
    <n v="29"/>
    <s v="AKER SOLUTIONS PR"/>
    <x v="2"/>
    <x v="0"/>
  </r>
  <r>
    <n v="696"/>
    <n v="11665"/>
    <n v="13794.41"/>
    <n v="13794.41"/>
    <n v="0"/>
    <x v="26"/>
    <n v="32"/>
    <s v="TECHNIP AÇÚ-RJ"/>
    <x v="0"/>
    <x v="0"/>
  </r>
  <r>
    <n v="696"/>
    <n v="328"/>
    <n v="11995.14"/>
    <n v="13794.41"/>
    <n v="0"/>
    <x v="146"/>
    <n v="29"/>
    <s v="TECHNIP AÇÚ-RJ"/>
    <x v="0"/>
    <x v="0"/>
  </r>
  <r>
    <n v="697"/>
    <n v="11790"/>
    <n v="244488.35"/>
    <n v="2304320"/>
    <n v="494996.74"/>
    <x v="116"/>
    <n v="39"/>
    <s v="VALE TUBARAO VITORIA-ES CVRD AREA OPERACIONAL"/>
    <x v="4"/>
    <x v="2"/>
  </r>
  <r>
    <n v="697"/>
    <n v="11805"/>
    <n v="737295.99"/>
    <n v="2304320"/>
    <n v="494996.74"/>
    <x v="55"/>
    <n v="40"/>
    <s v="VALE TUBARAO VITORIA-ES CVRD AREA OPERACIONAL"/>
    <x v="4"/>
    <x v="2"/>
  </r>
  <r>
    <n v="697"/>
    <n v="11835"/>
    <n v="551020.52"/>
    <n v="2304320"/>
    <n v="494996.74"/>
    <x v="147"/>
    <n v="40"/>
    <s v="VALE TUBARAO VITORIA-ES CVRD AREA OPERACIONAL"/>
    <x v="4"/>
    <x v="2"/>
  </r>
  <r>
    <n v="697"/>
    <n v="11884"/>
    <n v="276518.40000000002"/>
    <n v="2304320"/>
    <n v="494996.74"/>
    <x v="52"/>
    <n v="44"/>
    <s v="VALE TUBARAO VITORIA-ES CVRD AREA OPERACIONAL"/>
    <x v="4"/>
    <x v="2"/>
  </r>
  <r>
    <n v="698"/>
    <m/>
    <m/>
    <n v="100574.14"/>
    <n v="100574.14"/>
    <x v="0"/>
    <m/>
    <s v="BHGE - GE"/>
    <x v="1"/>
    <x v="1"/>
  </r>
  <r>
    <n v="699"/>
    <n v="12043"/>
    <n v="98897.91"/>
    <n v="100574.14"/>
    <n v="1676.23"/>
    <x v="4"/>
    <n v="52"/>
    <s v="BHGE - GE"/>
    <x v="1"/>
    <x v="1"/>
  </r>
  <r>
    <n v="7"/>
    <m/>
    <m/>
    <n v="36776.47"/>
    <n v="36776.47"/>
    <x v="0"/>
    <m/>
    <s v="TECHNIP AÇÚ-RJ"/>
    <x v="0"/>
    <x v="0"/>
  </r>
  <r>
    <n v="70"/>
    <m/>
    <m/>
    <n v="5585"/>
    <n v="5585"/>
    <x v="0"/>
    <m/>
    <s v="PRYSMIAN - VILA VELHA "/>
    <x v="0"/>
    <x v="0"/>
  </r>
  <r>
    <n v="700"/>
    <n v="12043"/>
    <n v="98897.91"/>
    <n v="100574.14"/>
    <n v="1676.23"/>
    <x v="4"/>
    <n v="52"/>
    <s v="BHGE - GE"/>
    <x v="1"/>
    <x v="1"/>
  </r>
  <r>
    <n v="701"/>
    <n v="12043"/>
    <n v="197795.82"/>
    <n v="201148.29"/>
    <n v="3352.47"/>
    <x v="4"/>
    <n v="52"/>
    <s v="BHGE - GE"/>
    <x v="1"/>
    <x v="1"/>
  </r>
  <r>
    <n v="702"/>
    <n v="11874"/>
    <n v="28372.3"/>
    <n v="28372.3"/>
    <n v="0"/>
    <x v="148"/>
    <n v="43"/>
    <s v="AKER SOLUTIONS PR"/>
    <x v="2"/>
    <x v="0"/>
  </r>
  <r>
    <n v="703"/>
    <n v="11634"/>
    <n v="1520000"/>
    <n v="1520000"/>
    <n v="0"/>
    <x v="118"/>
    <n v="30"/>
    <s v="VALE TUBARAO VITORIA-ES CVRD AREA OPERACIONAL"/>
    <x v="4"/>
    <x v="0"/>
  </r>
  <r>
    <n v="705"/>
    <n v="11765"/>
    <n v="31912.84"/>
    <n v="31912.84"/>
    <n v="0"/>
    <x v="58"/>
    <n v="38"/>
    <s v="TECHNIP AÇÚ-RJ"/>
    <x v="1"/>
    <x v="1"/>
  </r>
  <r>
    <n v="706"/>
    <n v="11765"/>
    <n v="31912.84"/>
    <n v="31912.84"/>
    <n v="0"/>
    <x v="58"/>
    <n v="38"/>
    <s v="TECHNIP AÇÚ-RJ"/>
    <x v="1"/>
    <x v="1"/>
  </r>
  <r>
    <n v="707"/>
    <m/>
    <m/>
    <n v="2100"/>
    <n v="2100"/>
    <x v="0"/>
    <m/>
    <s v="METALVIX "/>
    <x v="0"/>
    <x v="0"/>
  </r>
  <r>
    <n v="708"/>
    <n v="11690"/>
    <n v="2100"/>
    <n v="2100"/>
    <n v="0"/>
    <x v="131"/>
    <n v="33"/>
    <s v="METALVIX "/>
    <x v="0"/>
    <x v="0"/>
  </r>
  <r>
    <n v="709"/>
    <m/>
    <m/>
    <n v="42121.05"/>
    <n v="42121.05"/>
    <x v="0"/>
    <m/>
    <s v="TECHNIP AÇÚ-RJ"/>
    <x v="0"/>
    <x v="0"/>
  </r>
  <r>
    <n v="71"/>
    <m/>
    <m/>
    <n v="14120.650000000001"/>
    <n v="14120.650000000001"/>
    <x v="0"/>
    <m/>
    <s v="PRYSMIAN - VILA VELHA "/>
    <x v="0"/>
    <x v="0"/>
  </r>
  <r>
    <n v="710"/>
    <n v="12045"/>
    <n v="95567.23"/>
    <n v="97187.01"/>
    <n v="1619.78"/>
    <x v="4"/>
    <n v="52"/>
    <s v="TECHNIP AÇÚ-RJ"/>
    <x v="1"/>
    <x v="1"/>
  </r>
  <r>
    <n v="711"/>
    <m/>
    <m/>
    <n v="41666.94"/>
    <n v="41666.94"/>
    <x v="0"/>
    <m/>
    <s v="TECHNIP AÇÚ-RJ"/>
    <x v="0"/>
    <x v="0"/>
  </r>
  <r>
    <n v="712"/>
    <m/>
    <m/>
    <n v="41666.94"/>
    <n v="41666.94"/>
    <x v="0"/>
    <m/>
    <s v="TECHNIP AÇÚ-RJ"/>
    <x v="0"/>
    <x v="0"/>
  </r>
  <r>
    <n v="713"/>
    <m/>
    <m/>
    <n v="41666.94"/>
    <n v="41666.94"/>
    <x v="0"/>
    <m/>
    <s v="TECHNIP AÇÚ-RJ"/>
    <x v="0"/>
    <x v="0"/>
  </r>
  <r>
    <n v="714"/>
    <n v="12045"/>
    <n v="95827.35"/>
    <n v="97451.54"/>
    <n v="1624.19"/>
    <x v="4"/>
    <n v="52"/>
    <s v="TECHNIP AÇÚ-RJ"/>
    <x v="0"/>
    <x v="0"/>
  </r>
  <r>
    <n v="715"/>
    <n v="12045"/>
    <n v="95827.35"/>
    <n v="97451.54"/>
    <n v="1624.19"/>
    <x v="4"/>
    <n v="52"/>
    <s v="TECHNIP AÇÚ-RJ"/>
    <x v="1"/>
    <x v="1"/>
  </r>
  <r>
    <n v="716"/>
    <n v="12045"/>
    <n v="95827.35"/>
    <n v="97451.54"/>
    <n v="1624.19"/>
    <x v="4"/>
    <n v="52"/>
    <s v="TECHNIP AÇÚ-RJ"/>
    <x v="1"/>
    <x v="1"/>
  </r>
  <r>
    <n v="717"/>
    <m/>
    <m/>
    <n v="130879.69"/>
    <n v="130879.69"/>
    <x v="0"/>
    <m/>
    <s v="TECHNIP AÇÚ-RJ"/>
    <x v="1"/>
    <x v="1"/>
  </r>
  <r>
    <n v="718"/>
    <n v="12066"/>
    <n v="128698.36"/>
    <n v="130879.69"/>
    <n v="2181.33"/>
    <x v="3"/>
    <n v="53"/>
    <s v="TECHNIP AÇÚ-RJ"/>
    <x v="1"/>
    <x v="1"/>
  </r>
  <r>
    <n v="719"/>
    <n v="12066"/>
    <n v="63157.02"/>
    <n v="64227.48"/>
    <n v="1070.46"/>
    <x v="3"/>
    <n v="53"/>
    <s v="TECHNIP AÇÚ-RJ"/>
    <x v="1"/>
    <x v="1"/>
  </r>
  <r>
    <n v="72"/>
    <m/>
    <m/>
    <n v="16357.28"/>
    <n v="16357.28"/>
    <x v="0"/>
    <m/>
    <s v="PRYSMIAN - VILA VELHA "/>
    <x v="0"/>
    <x v="0"/>
  </r>
  <r>
    <n v="720"/>
    <n v="12044"/>
    <n v="154536.88999999998"/>
    <n v="157156.16"/>
    <n v="2619.27"/>
    <x v="4"/>
    <n v="52"/>
    <s v="TECHNIP AÇÚ-RJ"/>
    <x v="1"/>
    <x v="1"/>
  </r>
  <r>
    <n v="721"/>
    <n v="12067"/>
    <n v="128698.36"/>
    <n v="130879.69"/>
    <n v="2181.33"/>
    <x v="3"/>
    <n v="53"/>
    <s v="TECHNIP AÇÚ-RJ"/>
    <x v="1"/>
    <x v="1"/>
  </r>
  <r>
    <n v="722"/>
    <n v="12067"/>
    <n v="128698.36"/>
    <n v="130879.69"/>
    <n v="2181.33"/>
    <x v="3"/>
    <n v="53"/>
    <s v="TECHNIP AÇÚ-RJ"/>
    <x v="1"/>
    <x v="1"/>
  </r>
  <r>
    <n v="723"/>
    <n v="12067"/>
    <n v="63157.02"/>
    <n v="64227.48"/>
    <n v="1070.46"/>
    <x v="3"/>
    <n v="53"/>
    <s v="TECHNIP AÇÚ-RJ"/>
    <x v="0"/>
    <x v="0"/>
  </r>
  <r>
    <n v="724"/>
    <n v="12067"/>
    <n v="63157.02"/>
    <n v="64227.48"/>
    <n v="1070.46"/>
    <x v="3"/>
    <n v="53"/>
    <s v="TECHNIP AÇÚ-RJ"/>
    <x v="1"/>
    <x v="1"/>
  </r>
  <r>
    <n v="725"/>
    <n v="11819"/>
    <n v="26204.78"/>
    <n v="23726.78"/>
    <n v="23726.78"/>
    <x v="88"/>
    <n v="40"/>
    <s v="BHGE - GE"/>
    <x v="1"/>
    <x v="1"/>
  </r>
  <r>
    <n v="725"/>
    <n v="11819"/>
    <n v="26204.78"/>
    <n v="23726.78"/>
    <n v="23726.78"/>
    <x v="88"/>
    <n v="40"/>
    <s v="BHGE - GE"/>
    <x v="1"/>
    <x v="1"/>
  </r>
  <r>
    <n v="725"/>
    <n v="11819"/>
    <n v="53081.07"/>
    <n v="23726.78"/>
    <n v="23726.78"/>
    <x v="88"/>
    <n v="40"/>
    <s v="BHGE - GE"/>
    <x v="1"/>
    <x v="1"/>
  </r>
  <r>
    <n v="725"/>
    <n v="11828"/>
    <n v="-26204.78"/>
    <n v="23726.78"/>
    <n v="23726.78"/>
    <x v="138"/>
    <n v="40"/>
    <s v="BHGE - GE"/>
    <x v="1"/>
    <x v="1"/>
  </r>
  <r>
    <n v="725"/>
    <n v="11828"/>
    <n v="-26204.78"/>
    <n v="23726.78"/>
    <n v="23726.78"/>
    <x v="138"/>
    <n v="40"/>
    <s v="BHGE - GE"/>
    <x v="1"/>
    <x v="1"/>
  </r>
  <r>
    <n v="725"/>
    <n v="11828"/>
    <n v="-53081.07"/>
    <n v="23726.78"/>
    <n v="23726.78"/>
    <x v="138"/>
    <n v="40"/>
    <s v="BHGE - GE"/>
    <x v="1"/>
    <x v="1"/>
  </r>
  <r>
    <n v="726"/>
    <n v="11961"/>
    <n v="26204.78"/>
    <n v="23726.78"/>
    <n v="23726.78"/>
    <x v="149"/>
    <n v="48"/>
    <s v="BHGE - GE"/>
    <x v="1"/>
    <x v="1"/>
  </r>
  <r>
    <n v="726"/>
    <n v="11967"/>
    <n v="-26204.78"/>
    <n v="23726.78"/>
    <n v="23726.78"/>
    <x v="127"/>
    <n v="49"/>
    <s v="BHGE - GE"/>
    <x v="1"/>
    <x v="1"/>
  </r>
  <r>
    <n v="727"/>
    <m/>
    <m/>
    <n v="23726.78"/>
    <n v="23726.78"/>
    <x v="0"/>
    <m/>
    <s v="BHGE - GE"/>
    <x v="1"/>
    <x v="1"/>
  </r>
  <r>
    <n v="728"/>
    <n v="11961"/>
    <n v="26204.78"/>
    <n v="23726.78"/>
    <n v="23726.78"/>
    <x v="149"/>
    <n v="48"/>
    <s v="BHGE - GE"/>
    <x v="1"/>
    <x v="1"/>
  </r>
  <r>
    <n v="728"/>
    <n v="11967"/>
    <n v="-26204.78"/>
    <n v="23726.78"/>
    <n v="23726.78"/>
    <x v="127"/>
    <n v="49"/>
    <s v="BHGE - GE"/>
    <x v="1"/>
    <x v="1"/>
  </r>
  <r>
    <n v="729"/>
    <n v="11961"/>
    <n v="26204.78"/>
    <n v="23726.78"/>
    <n v="23726.78"/>
    <x v="149"/>
    <n v="48"/>
    <s v="BHGE - GE"/>
    <x v="1"/>
    <x v="1"/>
  </r>
  <r>
    <n v="729"/>
    <n v="11967"/>
    <n v="-26204.78"/>
    <n v="23726.78"/>
    <n v="23726.78"/>
    <x v="127"/>
    <n v="49"/>
    <s v="BHGE - GE"/>
    <x v="1"/>
    <x v="1"/>
  </r>
  <r>
    <n v="73"/>
    <m/>
    <m/>
    <n v="21212.22"/>
    <n v="21212.22"/>
    <x v="0"/>
    <m/>
    <s v="PRYSMIAN - VILA VELHA "/>
    <x v="0"/>
    <x v="0"/>
  </r>
  <r>
    <n v="730"/>
    <n v="11961"/>
    <n v="26204.78"/>
    <n v="23726.78"/>
    <n v="23726.78"/>
    <x v="149"/>
    <n v="48"/>
    <s v="BHGE - GE"/>
    <x v="1"/>
    <x v="1"/>
  </r>
  <r>
    <n v="730"/>
    <n v="11967"/>
    <n v="-26204.78"/>
    <n v="23726.78"/>
    <n v="23726.78"/>
    <x v="127"/>
    <n v="49"/>
    <s v="BHGE - GE"/>
    <x v="1"/>
    <x v="1"/>
  </r>
  <r>
    <n v="731"/>
    <n v="11922"/>
    <n v="26204.78"/>
    <n v="23726.78"/>
    <n v="0"/>
    <x v="124"/>
    <n v="46"/>
    <s v="BHGE - GE"/>
    <x v="1"/>
    <x v="1"/>
  </r>
  <r>
    <n v="732"/>
    <n v="11922"/>
    <n v="53081.07"/>
    <n v="50293.32"/>
    <n v="0"/>
    <x v="124"/>
    <n v="46"/>
    <s v="BHGE - GE"/>
    <x v="1"/>
    <x v="1"/>
  </r>
  <r>
    <n v="733"/>
    <n v="11922"/>
    <n v="26204.78"/>
    <n v="23726.78"/>
    <n v="0"/>
    <x v="124"/>
    <n v="46"/>
    <s v="BHGE - GE"/>
    <x v="1"/>
    <x v="1"/>
  </r>
  <r>
    <n v="734"/>
    <n v="11922"/>
    <n v="53081.07"/>
    <n v="50293.32"/>
    <n v="0"/>
    <x v="124"/>
    <n v="46"/>
    <s v="BHGE - GE"/>
    <x v="1"/>
    <x v="1"/>
  </r>
  <r>
    <n v="735"/>
    <n v="11961"/>
    <n v="26204.78"/>
    <n v="23726.78"/>
    <n v="23726.78"/>
    <x v="149"/>
    <n v="48"/>
    <s v="BHGE - GE"/>
    <x v="1"/>
    <x v="1"/>
  </r>
  <r>
    <n v="735"/>
    <n v="11967"/>
    <n v="-26204.78"/>
    <n v="23726.78"/>
    <n v="23726.78"/>
    <x v="127"/>
    <n v="49"/>
    <s v="BHGE - GE"/>
    <x v="1"/>
    <x v="1"/>
  </r>
  <r>
    <n v="736"/>
    <n v="11961"/>
    <n v="26204.78"/>
    <n v="23726.78"/>
    <n v="23726.78"/>
    <x v="149"/>
    <n v="48"/>
    <s v="BHGE - GE"/>
    <x v="1"/>
    <x v="1"/>
  </r>
  <r>
    <n v="736"/>
    <n v="11967"/>
    <n v="-26204.78"/>
    <n v="23726.78"/>
    <n v="23726.78"/>
    <x v="127"/>
    <n v="49"/>
    <s v="BHGE - GE"/>
    <x v="1"/>
    <x v="1"/>
  </r>
  <r>
    <n v="737"/>
    <m/>
    <m/>
    <n v="23726.78"/>
    <n v="23726.78"/>
    <x v="0"/>
    <m/>
    <s v="BHGE - GE"/>
    <x v="1"/>
    <x v="1"/>
  </r>
  <r>
    <n v="738"/>
    <n v="11963"/>
    <n v="26204.78"/>
    <n v="23726.78"/>
    <n v="23726.78"/>
    <x v="149"/>
    <n v="48"/>
    <s v="BHGE - GE"/>
    <x v="1"/>
    <x v="1"/>
  </r>
  <r>
    <n v="738"/>
    <n v="11968"/>
    <n v="-26204.78"/>
    <n v="23726.78"/>
    <n v="23726.78"/>
    <x v="127"/>
    <n v="49"/>
    <s v="BHGE - GE"/>
    <x v="1"/>
    <x v="1"/>
  </r>
  <r>
    <n v="739"/>
    <n v="11963"/>
    <n v="53081.07"/>
    <n v="50293.32"/>
    <n v="50293.32"/>
    <x v="149"/>
    <n v="48"/>
    <s v="BHGE - GE"/>
    <x v="1"/>
    <x v="1"/>
  </r>
  <r>
    <n v="739"/>
    <n v="11968"/>
    <n v="-53081.07"/>
    <n v="50293.32"/>
    <n v="50293.32"/>
    <x v="127"/>
    <n v="49"/>
    <s v="BHGE - GE"/>
    <x v="1"/>
    <x v="1"/>
  </r>
  <r>
    <n v="74"/>
    <m/>
    <m/>
    <n v="19380.25"/>
    <n v="19380.25"/>
    <x v="0"/>
    <m/>
    <s v="PRYSMIAN - VILA VELHA "/>
    <x v="0"/>
    <x v="0"/>
  </r>
  <r>
    <n v="740"/>
    <n v="11963"/>
    <n v="23726.78"/>
    <n v="23726.78"/>
    <n v="23726.78"/>
    <x v="149"/>
    <n v="48"/>
    <s v="BHGE - GE"/>
    <x v="1"/>
    <x v="1"/>
  </r>
  <r>
    <n v="740"/>
    <n v="11968"/>
    <n v="-23726.78"/>
    <n v="23726.78"/>
    <n v="23726.78"/>
    <x v="127"/>
    <n v="49"/>
    <s v="BHGE - GE"/>
    <x v="1"/>
    <x v="1"/>
  </r>
  <r>
    <n v="741"/>
    <n v="11820"/>
    <n v="53081.07"/>
    <n v="50293.32"/>
    <n v="50293.32"/>
    <x v="88"/>
    <n v="40"/>
    <s v="BHGE - GE"/>
    <x v="1"/>
    <x v="1"/>
  </r>
  <r>
    <n v="741"/>
    <n v="11820"/>
    <n v="26204.78"/>
    <n v="50293.32"/>
    <n v="50293.32"/>
    <x v="88"/>
    <n v="40"/>
    <s v="BHGE - GE"/>
    <x v="1"/>
    <x v="1"/>
  </r>
  <r>
    <n v="741"/>
    <n v="11820"/>
    <n v="53081.07"/>
    <n v="50293.32"/>
    <n v="50293.32"/>
    <x v="88"/>
    <n v="40"/>
    <s v="BHGE - GE"/>
    <x v="1"/>
    <x v="1"/>
  </r>
  <r>
    <n v="741"/>
    <n v="11829"/>
    <n v="-53081.07"/>
    <n v="50293.32"/>
    <n v="50293.32"/>
    <x v="138"/>
    <n v="40"/>
    <s v="BHGE - GE"/>
    <x v="1"/>
    <x v="1"/>
  </r>
  <r>
    <n v="741"/>
    <n v="11829"/>
    <n v="-26204.78"/>
    <n v="50293.32"/>
    <n v="50293.32"/>
    <x v="138"/>
    <n v="40"/>
    <s v="BHGE - GE"/>
    <x v="1"/>
    <x v="1"/>
  </r>
  <r>
    <n v="741"/>
    <n v="11829"/>
    <n v="-53081.07"/>
    <n v="50293.32"/>
    <n v="50293.32"/>
    <x v="138"/>
    <n v="40"/>
    <s v="BHGE - GE"/>
    <x v="1"/>
    <x v="1"/>
  </r>
  <r>
    <n v="742"/>
    <m/>
    <m/>
    <n v="23726.78"/>
    <n v="23726.78"/>
    <x v="0"/>
    <m/>
    <s v="BHGE - GE"/>
    <x v="1"/>
    <x v="1"/>
  </r>
  <r>
    <n v="743"/>
    <m/>
    <m/>
    <n v="50293.32"/>
    <n v="50293.32"/>
    <x v="0"/>
    <m/>
    <s v="BHGE - GE"/>
    <x v="1"/>
    <x v="1"/>
  </r>
  <r>
    <n v="744"/>
    <m/>
    <m/>
    <n v="50293.32"/>
    <n v="50293.32"/>
    <x v="0"/>
    <m/>
    <s v="BHGE - GE"/>
    <x v="1"/>
    <x v="1"/>
  </r>
  <r>
    <n v="745"/>
    <m/>
    <m/>
    <n v="859306.43"/>
    <n v="859306.43"/>
    <x v="0"/>
    <m/>
    <s v="BHGE - GE"/>
    <x v="0"/>
    <x v="0"/>
  </r>
  <r>
    <n v="746"/>
    <m/>
    <m/>
    <n v="145055.84"/>
    <n v="145055.84"/>
    <x v="0"/>
    <m/>
    <s v="BHGE - GE"/>
    <x v="0"/>
    <x v="0"/>
  </r>
  <r>
    <n v="747"/>
    <m/>
    <m/>
    <n v="290111.68"/>
    <n v="290111.68"/>
    <x v="0"/>
    <m/>
    <s v="BHGE - GE"/>
    <x v="0"/>
    <x v="0"/>
  </r>
  <r>
    <n v="748"/>
    <m/>
    <m/>
    <n v="145055.84"/>
    <n v="145055.84"/>
    <x v="0"/>
    <m/>
    <s v="BHGE - GE"/>
    <x v="0"/>
    <x v="0"/>
  </r>
  <r>
    <n v="749"/>
    <m/>
    <m/>
    <n v="145055.84"/>
    <n v="145055.84"/>
    <x v="0"/>
    <m/>
    <s v="BHGE - GE"/>
    <x v="0"/>
    <x v="0"/>
  </r>
  <r>
    <n v="75"/>
    <m/>
    <m/>
    <n v="38760.5"/>
    <n v="38760.5"/>
    <x v="0"/>
    <m/>
    <s v="PRYSMIAN - VILA VELHA "/>
    <x v="0"/>
    <x v="0"/>
  </r>
  <r>
    <n v="750"/>
    <n v="11976"/>
    <n v="71140.88"/>
    <n v="51145.75"/>
    <n v="0"/>
    <x v="144"/>
    <n v="49"/>
    <s v="BHGE - GE"/>
    <x v="1"/>
    <x v="1"/>
  </r>
  <r>
    <n v="751"/>
    <n v="12033"/>
    <n v="53081.07"/>
    <n v="51145.75"/>
    <n v="51145.75"/>
    <x v="145"/>
    <n v="51"/>
    <s v="BHGE - GE"/>
    <x v="1"/>
    <x v="1"/>
  </r>
  <r>
    <n v="751"/>
    <n v="12039"/>
    <n v="-53081.07"/>
    <n v="51145.75"/>
    <n v="51145.75"/>
    <x v="150"/>
    <n v="51"/>
    <s v="BHGE - GE"/>
    <x v="1"/>
    <x v="1"/>
  </r>
  <r>
    <n v="752"/>
    <n v="12033"/>
    <n v="53081.07"/>
    <n v="51145.75"/>
    <n v="51145.75"/>
    <x v="145"/>
    <n v="51"/>
    <s v="BHGE - GE"/>
    <x v="0"/>
    <x v="0"/>
  </r>
  <r>
    <n v="752"/>
    <n v="12039"/>
    <n v="-53081.07"/>
    <n v="51145.75"/>
    <n v="51145.75"/>
    <x v="150"/>
    <n v="51"/>
    <s v="BHGE - GE"/>
    <x v="0"/>
    <x v="0"/>
  </r>
  <r>
    <n v="753"/>
    <n v="12033"/>
    <n v="50293.32"/>
    <n v="51145.75"/>
    <n v="51145.75"/>
    <x v="145"/>
    <n v="51"/>
    <s v="BHGE - GE"/>
    <x v="0"/>
    <x v="0"/>
  </r>
  <r>
    <n v="753"/>
    <n v="12039"/>
    <n v="-50293.32"/>
    <n v="51145.75"/>
    <n v="51145.75"/>
    <x v="150"/>
    <n v="51"/>
    <s v="BHGE - GE"/>
    <x v="0"/>
    <x v="0"/>
  </r>
  <r>
    <n v="754"/>
    <n v="12033"/>
    <n v="50293.32"/>
    <n v="51145.75"/>
    <n v="51145.75"/>
    <x v="145"/>
    <n v="51"/>
    <s v="BHGE - GE"/>
    <x v="0"/>
    <x v="0"/>
  </r>
  <r>
    <n v="754"/>
    <n v="12039"/>
    <n v="-50293.32"/>
    <n v="51145.75"/>
    <n v="51145.75"/>
    <x v="150"/>
    <n v="51"/>
    <s v="BHGE - GE"/>
    <x v="0"/>
    <x v="0"/>
  </r>
  <r>
    <n v="755"/>
    <m/>
    <m/>
    <n v="51145.75"/>
    <n v="51145.75"/>
    <x v="0"/>
    <m/>
    <s v="BHGE - GE"/>
    <x v="0"/>
    <x v="0"/>
  </r>
  <r>
    <n v="756"/>
    <m/>
    <m/>
    <n v="51145.75"/>
    <n v="51145.75"/>
    <x v="0"/>
    <m/>
    <s v="BHGE - GE"/>
    <x v="0"/>
    <x v="0"/>
  </r>
  <r>
    <n v="757"/>
    <m/>
    <m/>
    <n v="335668.47999999998"/>
    <n v="335668.47999999998"/>
    <x v="0"/>
    <m/>
    <s v="AKER SOLUTIONS PR"/>
    <x v="0"/>
    <x v="0"/>
  </r>
  <r>
    <n v="758"/>
    <m/>
    <m/>
    <m/>
    <m/>
    <x v="0"/>
    <m/>
    <m/>
    <x v="0"/>
    <x v="0"/>
  </r>
  <r>
    <n v="759"/>
    <n v="335"/>
    <n v="9368.89"/>
    <n v="18737.78"/>
    <n v="0"/>
    <x v="133"/>
    <n v="37"/>
    <s v="TEXCAL"/>
    <x v="8"/>
    <x v="1"/>
  </r>
  <r>
    <n v="759"/>
    <n v="339"/>
    <n v="9368.89"/>
    <n v="18737.78"/>
    <n v="0"/>
    <x v="148"/>
    <n v="43"/>
    <s v="TEXCAL"/>
    <x v="8"/>
    <x v="1"/>
  </r>
  <r>
    <n v="76"/>
    <m/>
    <m/>
    <n v="38760.5"/>
    <n v="38760.5"/>
    <x v="0"/>
    <m/>
    <s v="PRYSMIAN - VILA VELHA "/>
    <x v="0"/>
    <x v="0"/>
  </r>
  <r>
    <n v="760"/>
    <m/>
    <m/>
    <m/>
    <m/>
    <x v="0"/>
    <m/>
    <m/>
    <x v="0"/>
    <x v="0"/>
  </r>
  <r>
    <n v="761"/>
    <m/>
    <m/>
    <n v="1694691.95"/>
    <n v="1694691.95"/>
    <x v="0"/>
    <m/>
    <s v="AKER SOLUTIONS PR"/>
    <x v="0"/>
    <x v="0"/>
  </r>
  <r>
    <n v="762"/>
    <m/>
    <m/>
    <n v="1694691.95"/>
    <n v="1694691.95"/>
    <x v="0"/>
    <m/>
    <s v="AKER SOLUTIONS PR"/>
    <x v="0"/>
    <x v="0"/>
  </r>
  <r>
    <n v="763"/>
    <n v="11775"/>
    <n v="5426.7000000000007"/>
    <n v="5191.83"/>
    <n v="5191.83"/>
    <x v="132"/>
    <n v="39"/>
    <s v="TECHNIP BRASIL - ENGENHARIA, INSTALACOES E AP"/>
    <x v="1"/>
    <x v="1"/>
  </r>
  <r>
    <n v="763"/>
    <n v="11876"/>
    <n v="-5426.7000000000007"/>
    <n v="5191.83"/>
    <n v="5191.83"/>
    <x v="151"/>
    <n v="44"/>
    <s v="TECHNIP BRASIL - ENGENHARIA, INSTALACOES E AP"/>
    <x v="1"/>
    <x v="1"/>
  </r>
  <r>
    <n v="764"/>
    <m/>
    <m/>
    <n v="137996.71"/>
    <n v="137996.71"/>
    <x v="0"/>
    <m/>
    <s v="AKER SOLUTIONS PR"/>
    <x v="0"/>
    <x v="0"/>
  </r>
  <r>
    <n v="765"/>
    <m/>
    <m/>
    <n v="94729.82"/>
    <n v="94729.82"/>
    <x v="0"/>
    <m/>
    <s v="AKER SOLUTIONS PR"/>
    <x v="0"/>
    <x v="0"/>
  </r>
  <r>
    <n v="766"/>
    <m/>
    <m/>
    <n v="85531.15"/>
    <n v="85531.15"/>
    <x v="0"/>
    <m/>
    <s v="AKER SOLUTIONS PR"/>
    <x v="0"/>
    <x v="0"/>
  </r>
  <r>
    <n v="767"/>
    <m/>
    <m/>
    <n v="88069.97"/>
    <n v="88069.97"/>
    <x v="0"/>
    <m/>
    <s v="AKER SOLUTIONS PR"/>
    <x v="0"/>
    <x v="0"/>
  </r>
  <r>
    <n v="768"/>
    <m/>
    <m/>
    <n v="183995.62"/>
    <n v="183995.62"/>
    <x v="0"/>
    <m/>
    <s v="AKER SOLUTIONS PR"/>
    <x v="0"/>
    <x v="0"/>
  </r>
  <r>
    <n v="769"/>
    <m/>
    <m/>
    <n v="26905.54"/>
    <n v="26905.54"/>
    <x v="0"/>
    <m/>
    <s v="AKER SOLUTIONS PR"/>
    <x v="0"/>
    <x v="0"/>
  </r>
  <r>
    <n v="77"/>
    <m/>
    <m/>
    <n v="38760.5"/>
    <n v="38760.5"/>
    <x v="0"/>
    <m/>
    <s v="PRYSMIAN - VILA VELHA "/>
    <x v="0"/>
    <x v="0"/>
  </r>
  <r>
    <n v="770"/>
    <m/>
    <m/>
    <n v="66052.479999999996"/>
    <n v="66052.479999999996"/>
    <x v="0"/>
    <m/>
    <s v="AKER SOLUTIONS PR"/>
    <x v="0"/>
    <x v="0"/>
  </r>
  <r>
    <n v="771"/>
    <m/>
    <m/>
    <n v="20179.150000000001"/>
    <n v="20179.150000000001"/>
    <x v="0"/>
    <m/>
    <s v="AKER SOLUTIONS PR"/>
    <x v="0"/>
    <x v="0"/>
  </r>
  <r>
    <n v="772"/>
    <m/>
    <m/>
    <n v="64148.36"/>
    <n v="64148.36"/>
    <x v="0"/>
    <m/>
    <s v="AKER SOLUTIONS PR"/>
    <x v="0"/>
    <x v="0"/>
  </r>
  <r>
    <n v="773"/>
    <m/>
    <m/>
    <n v="71047.37"/>
    <n v="71047.37"/>
    <x v="0"/>
    <m/>
    <s v="AKER SOLUTIONS PR"/>
    <x v="0"/>
    <x v="0"/>
  </r>
  <r>
    <n v="774"/>
    <m/>
    <m/>
    <n v="36359.480000000003"/>
    <n v="36359.480000000003"/>
    <x v="0"/>
    <m/>
    <s v="BHGE - GE"/>
    <x v="1"/>
    <x v="1"/>
  </r>
  <r>
    <n v="775"/>
    <m/>
    <m/>
    <n v="78284.61"/>
    <n v="78284.61"/>
    <x v="0"/>
    <m/>
    <s v="AKER SOLUTIONS PR"/>
    <x v="0"/>
    <x v="0"/>
  </r>
  <r>
    <n v="776"/>
    <m/>
    <m/>
    <n v="48358.68"/>
    <n v="48358.68"/>
    <x v="0"/>
    <m/>
    <s v="AKER SOLUTIONS PR"/>
    <x v="0"/>
    <x v="0"/>
  </r>
  <r>
    <n v="777"/>
    <m/>
    <m/>
    <n v="78284.61"/>
    <n v="78284.61"/>
    <x v="0"/>
    <m/>
    <s v="AKER SOLUTIONS PR"/>
    <x v="0"/>
    <x v="0"/>
  </r>
  <r>
    <n v="778"/>
    <m/>
    <m/>
    <n v="48358.68"/>
    <n v="48358.68"/>
    <x v="0"/>
    <m/>
    <s v="AKER SOLUTIONS PR"/>
    <x v="0"/>
    <x v="0"/>
  </r>
  <r>
    <n v="779"/>
    <m/>
    <m/>
    <n v="78284.61"/>
    <n v="78284.61"/>
    <x v="0"/>
    <m/>
    <s v="AKER SOLUTIONS PR"/>
    <x v="0"/>
    <x v="0"/>
  </r>
  <r>
    <n v="78"/>
    <m/>
    <m/>
    <n v="5585.01"/>
    <n v="5585.01"/>
    <x v="0"/>
    <m/>
    <s v="PRYSMIAN - VILA VELHA "/>
    <x v="0"/>
    <x v="0"/>
  </r>
  <r>
    <n v="780"/>
    <m/>
    <m/>
    <n v="48358.68"/>
    <n v="48358.68"/>
    <x v="0"/>
    <m/>
    <s v="AKER SOLUTIONS PR"/>
    <x v="0"/>
    <x v="0"/>
  </r>
  <r>
    <n v="781"/>
    <m/>
    <m/>
    <n v="78284.61"/>
    <n v="78284.61"/>
    <x v="0"/>
    <m/>
    <s v="AKER SOLUTIONS PR"/>
    <x v="0"/>
    <x v="0"/>
  </r>
  <r>
    <n v="782"/>
    <m/>
    <m/>
    <n v="48358.68"/>
    <n v="48358.68"/>
    <x v="0"/>
    <m/>
    <s v="AKER SOLUTIONS PR"/>
    <x v="0"/>
    <x v="0"/>
  </r>
  <r>
    <n v="783"/>
    <m/>
    <m/>
    <n v="581781.56999999995"/>
    <n v="581781.56999999995"/>
    <x v="0"/>
    <m/>
    <s v="AKER SOLUTIONS PR"/>
    <x v="0"/>
    <x v="0"/>
  </r>
  <r>
    <n v="784"/>
    <m/>
    <m/>
    <n v="67656.53"/>
    <n v="67656.53"/>
    <x v="0"/>
    <m/>
    <s v="AKER SOLUTIONS PR"/>
    <x v="0"/>
    <x v="0"/>
  </r>
  <r>
    <n v="785"/>
    <m/>
    <m/>
    <n v="67656.53"/>
    <n v="67656.53"/>
    <x v="0"/>
    <m/>
    <s v="AKER SOLUTIONS PR"/>
    <x v="0"/>
    <x v="0"/>
  </r>
  <r>
    <n v="786"/>
    <m/>
    <m/>
    <n v="67656.53"/>
    <n v="67656.53"/>
    <x v="0"/>
    <m/>
    <s v="AKER SOLUTIONS PR"/>
    <x v="0"/>
    <x v="0"/>
  </r>
  <r>
    <n v="787"/>
    <m/>
    <m/>
    <n v="67656.53"/>
    <n v="67656.53"/>
    <x v="0"/>
    <m/>
    <s v="AKER SOLUTIONS PR"/>
    <x v="0"/>
    <x v="0"/>
  </r>
  <r>
    <n v="788"/>
    <m/>
    <m/>
    <n v="224861.87"/>
    <n v="224861.87"/>
    <x v="0"/>
    <m/>
    <s v="BHGE - GE"/>
    <x v="0"/>
    <x v="0"/>
  </r>
  <r>
    <n v="789"/>
    <m/>
    <m/>
    <n v="125099.66"/>
    <n v="125099.66"/>
    <x v="0"/>
    <m/>
    <s v="BHGE - GE"/>
    <x v="0"/>
    <x v="0"/>
  </r>
  <r>
    <n v="79"/>
    <m/>
    <m/>
    <n v="14120.650000000001"/>
    <n v="14120.650000000001"/>
    <x v="0"/>
    <m/>
    <s v="PRYSMIAN - VILA VELHA "/>
    <x v="0"/>
    <x v="0"/>
  </r>
  <r>
    <n v="790"/>
    <m/>
    <m/>
    <n v="125099.66"/>
    <n v="125099.66"/>
    <x v="0"/>
    <m/>
    <s v="BHGE - GE"/>
    <x v="0"/>
    <x v="0"/>
  </r>
  <r>
    <n v="791"/>
    <m/>
    <m/>
    <n v="224861.87"/>
    <n v="224861.87"/>
    <x v="0"/>
    <m/>
    <s v="BHGE - GE"/>
    <x v="0"/>
    <x v="0"/>
  </r>
  <r>
    <n v="792"/>
    <m/>
    <m/>
    <n v="125099.66"/>
    <n v="125099.66"/>
    <x v="0"/>
    <m/>
    <s v="BHGE - GE"/>
    <x v="0"/>
    <x v="0"/>
  </r>
  <r>
    <n v="793"/>
    <m/>
    <m/>
    <n v="224861.87"/>
    <n v="224861.87"/>
    <x v="0"/>
    <m/>
    <s v="BHGE - GE"/>
    <x v="0"/>
    <x v="0"/>
  </r>
  <r>
    <n v="794"/>
    <m/>
    <m/>
    <n v="7093.08"/>
    <n v="7093.08"/>
    <x v="0"/>
    <m/>
    <s v="AKER SOLUTIONS PR"/>
    <x v="0"/>
    <x v="0"/>
  </r>
  <r>
    <n v="795"/>
    <m/>
    <m/>
    <n v="158506.1"/>
    <n v="158506.1"/>
    <x v="0"/>
    <m/>
    <s v="BHGE - GE"/>
    <x v="0"/>
    <x v="0"/>
  </r>
  <r>
    <n v="796"/>
    <m/>
    <m/>
    <n v="82983.13"/>
    <n v="82983.13"/>
    <x v="0"/>
    <m/>
    <s v="BHGE - GE"/>
    <x v="0"/>
    <x v="0"/>
  </r>
  <r>
    <n v="797"/>
    <m/>
    <m/>
    <n v="158506.1"/>
    <n v="158506.1"/>
    <x v="0"/>
    <m/>
    <s v="BHGE - GE"/>
    <x v="0"/>
    <x v="0"/>
  </r>
  <r>
    <n v="798"/>
    <m/>
    <m/>
    <n v="82983.13"/>
    <n v="82983.13"/>
    <x v="0"/>
    <m/>
    <s v="BHGE - GE"/>
    <x v="0"/>
    <x v="0"/>
  </r>
  <r>
    <n v="799"/>
    <m/>
    <m/>
    <n v="82983.13"/>
    <n v="82983.13"/>
    <x v="0"/>
    <m/>
    <s v="BHGE - GE"/>
    <x v="0"/>
    <x v="0"/>
  </r>
  <r>
    <n v="8"/>
    <m/>
    <m/>
    <n v="36776.47"/>
    <n v="36776.47"/>
    <x v="0"/>
    <m/>
    <s v="TECHNIP AÇÚ-RJ"/>
    <x v="0"/>
    <x v="0"/>
  </r>
  <r>
    <n v="80"/>
    <m/>
    <m/>
    <n v="16357.28"/>
    <n v="16357.28"/>
    <x v="0"/>
    <m/>
    <s v="PRYSMIAN - VILA VELHA "/>
    <x v="0"/>
    <x v="0"/>
  </r>
  <r>
    <n v="800"/>
    <m/>
    <m/>
    <n v="82983.13"/>
    <n v="82983.13"/>
    <x v="0"/>
    <m/>
    <s v="BHGE - GE"/>
    <x v="0"/>
    <x v="0"/>
  </r>
  <r>
    <n v="801"/>
    <m/>
    <m/>
    <n v="449723.74"/>
    <n v="449723.74"/>
    <x v="0"/>
    <m/>
    <s v="BHGE - GE"/>
    <x v="0"/>
    <x v="0"/>
  </r>
  <r>
    <n v="802"/>
    <m/>
    <m/>
    <n v="224861.87"/>
    <n v="224861.87"/>
    <x v="0"/>
    <m/>
    <s v="BHGE - GE"/>
    <x v="0"/>
    <x v="0"/>
  </r>
  <r>
    <n v="803"/>
    <m/>
    <m/>
    <n v="224861.87"/>
    <n v="224861.87"/>
    <x v="0"/>
    <m/>
    <s v="BHGE - GE"/>
    <x v="0"/>
    <x v="0"/>
  </r>
  <r>
    <n v="804"/>
    <m/>
    <m/>
    <n v="224861.87"/>
    <n v="224861.87"/>
    <x v="0"/>
    <m/>
    <s v="BHGE - GE"/>
    <x v="0"/>
    <x v="0"/>
  </r>
  <r>
    <n v="805"/>
    <m/>
    <m/>
    <n v="158506.1"/>
    <n v="158506.1"/>
    <x v="0"/>
    <m/>
    <s v="BHGE - GE"/>
    <x v="0"/>
    <x v="0"/>
  </r>
  <r>
    <n v="806"/>
    <m/>
    <m/>
    <n v="82983.13"/>
    <n v="82983.13"/>
    <x v="0"/>
    <m/>
    <s v="BHGE - GE"/>
    <x v="0"/>
    <x v="0"/>
  </r>
  <r>
    <n v="807"/>
    <m/>
    <m/>
    <n v="158506.1"/>
    <n v="158506.1"/>
    <x v="0"/>
    <m/>
    <s v="BHGE - GE"/>
    <x v="0"/>
    <x v="0"/>
  </r>
  <r>
    <n v="808"/>
    <m/>
    <m/>
    <n v="82983.13"/>
    <n v="82983.13"/>
    <x v="0"/>
    <m/>
    <s v="BHGE - GE"/>
    <x v="0"/>
    <x v="0"/>
  </r>
  <r>
    <n v="809"/>
    <m/>
    <m/>
    <n v="317012.2"/>
    <n v="317012.2"/>
    <x v="0"/>
    <m/>
    <s v="BHGE - GE"/>
    <x v="0"/>
    <x v="0"/>
  </r>
  <r>
    <n v="81"/>
    <m/>
    <m/>
    <n v="18264.830000000002"/>
    <n v="18264.830000000002"/>
    <x v="0"/>
    <m/>
    <s v="PRYSMIAN - VILA VELHA "/>
    <x v="0"/>
    <x v="0"/>
  </r>
  <r>
    <n v="810"/>
    <m/>
    <m/>
    <n v="165966.26"/>
    <n v="165966.26"/>
    <x v="0"/>
    <m/>
    <s v="BHGE - GE"/>
    <x v="0"/>
    <x v="0"/>
  </r>
  <r>
    <n v="811"/>
    <m/>
    <m/>
    <n v="158506.1"/>
    <n v="158506.1"/>
    <x v="0"/>
    <m/>
    <s v="BHGE - GE"/>
    <x v="0"/>
    <x v="0"/>
  </r>
  <r>
    <n v="812"/>
    <m/>
    <m/>
    <n v="82983.13"/>
    <n v="82983.13"/>
    <x v="0"/>
    <m/>
    <s v="BHGE - GE"/>
    <x v="0"/>
    <x v="0"/>
  </r>
  <r>
    <n v="813"/>
    <m/>
    <m/>
    <n v="158506.1"/>
    <n v="158506.1"/>
    <x v="0"/>
    <m/>
    <s v="BHGE - GE"/>
    <x v="0"/>
    <x v="0"/>
  </r>
  <r>
    <n v="814"/>
    <m/>
    <m/>
    <n v="82983.13"/>
    <n v="82983.13"/>
    <x v="0"/>
    <m/>
    <s v="BHGE - GE"/>
    <x v="0"/>
    <x v="0"/>
  </r>
  <r>
    <n v="815"/>
    <m/>
    <m/>
    <n v="158506.1"/>
    <n v="158506.1"/>
    <x v="0"/>
    <m/>
    <s v="BHGE - GE"/>
    <x v="0"/>
    <x v="0"/>
  </r>
  <r>
    <n v="816"/>
    <m/>
    <m/>
    <n v="82983.13"/>
    <n v="82983.13"/>
    <x v="0"/>
    <m/>
    <s v="BHGE - GE"/>
    <x v="0"/>
    <x v="0"/>
  </r>
  <r>
    <n v="817"/>
    <m/>
    <m/>
    <n v="82983.13"/>
    <n v="82983.13"/>
    <x v="0"/>
    <m/>
    <s v="BHGE - GE"/>
    <x v="0"/>
    <x v="0"/>
  </r>
  <r>
    <n v="818"/>
    <m/>
    <m/>
    <n v="158506.1"/>
    <n v="158506.1"/>
    <x v="0"/>
    <m/>
    <s v="BHGE - GE"/>
    <x v="0"/>
    <x v="0"/>
  </r>
  <r>
    <n v="819"/>
    <m/>
    <m/>
    <n v="82983.13"/>
    <n v="82983.13"/>
    <x v="0"/>
    <m/>
    <s v="BHGE - GE"/>
    <x v="0"/>
    <x v="0"/>
  </r>
  <r>
    <n v="82"/>
    <m/>
    <m/>
    <n v="28125.280000000002"/>
    <n v="28125.280000000002"/>
    <x v="0"/>
    <m/>
    <s v="PRYSMIAN - VILA VELHA "/>
    <x v="0"/>
    <x v="0"/>
  </r>
  <r>
    <n v="820"/>
    <m/>
    <m/>
    <n v="158506.1"/>
    <n v="158506.1"/>
    <x v="0"/>
    <m/>
    <s v="BHGE - GE"/>
    <x v="0"/>
    <x v="0"/>
  </r>
  <r>
    <n v="821"/>
    <m/>
    <m/>
    <n v="82983.13"/>
    <n v="82983.13"/>
    <x v="0"/>
    <m/>
    <s v="BHGE - GE"/>
    <x v="0"/>
    <x v="0"/>
  </r>
  <r>
    <n v="822"/>
    <m/>
    <m/>
    <n v="317012.2"/>
    <n v="317012.2"/>
    <x v="0"/>
    <m/>
    <s v="BHGE - GE"/>
    <x v="0"/>
    <x v="0"/>
  </r>
  <r>
    <n v="823"/>
    <m/>
    <m/>
    <n v="165966.26"/>
    <n v="165966.26"/>
    <x v="0"/>
    <m/>
    <s v="BHGE - GE"/>
    <x v="0"/>
    <x v="0"/>
  </r>
  <r>
    <n v="824"/>
    <m/>
    <m/>
    <n v="158506.1"/>
    <n v="158506.1"/>
    <x v="0"/>
    <m/>
    <s v="BHGE - GE"/>
    <x v="0"/>
    <x v="0"/>
  </r>
  <r>
    <n v="825"/>
    <m/>
    <m/>
    <n v="82983.13"/>
    <n v="82983.13"/>
    <x v="0"/>
    <m/>
    <s v="BHGE - GE"/>
    <x v="0"/>
    <x v="0"/>
  </r>
  <r>
    <n v="826"/>
    <m/>
    <m/>
    <n v="82983.13"/>
    <n v="82983.13"/>
    <x v="0"/>
    <m/>
    <s v="BHGE - GE"/>
    <x v="0"/>
    <x v="0"/>
  </r>
  <r>
    <n v="827"/>
    <m/>
    <m/>
    <n v="158506.1"/>
    <n v="158506.1"/>
    <x v="0"/>
    <m/>
    <s v="BHGE - GE"/>
    <x v="0"/>
    <x v="0"/>
  </r>
  <r>
    <n v="828"/>
    <m/>
    <m/>
    <n v="389397.58"/>
    <n v="389397.58"/>
    <x v="0"/>
    <m/>
    <s v="BHGE - GE"/>
    <x v="0"/>
    <x v="0"/>
  </r>
  <r>
    <n v="829"/>
    <m/>
    <m/>
    <n v="194698.79"/>
    <n v="194698.79"/>
    <x v="0"/>
    <m/>
    <s v="BHGE - GE"/>
    <x v="0"/>
    <x v="0"/>
  </r>
  <r>
    <n v="83"/>
    <m/>
    <m/>
    <n v="56250.560000000005"/>
    <n v="56250.560000000005"/>
    <x v="0"/>
    <m/>
    <s v="PRYSMIAN - VILA VELHA "/>
    <x v="0"/>
    <x v="0"/>
  </r>
  <r>
    <n v="830"/>
    <m/>
    <m/>
    <n v="194698.79"/>
    <n v="194698.79"/>
    <x v="0"/>
    <m/>
    <s v="BHGE - GE"/>
    <x v="0"/>
    <x v="0"/>
  </r>
  <r>
    <n v="831"/>
    <m/>
    <m/>
    <n v="194698.79"/>
    <n v="194698.79"/>
    <x v="0"/>
    <m/>
    <s v="BHGE - GE"/>
    <x v="0"/>
    <x v="0"/>
  </r>
  <r>
    <n v="832"/>
    <m/>
    <m/>
    <n v="194698.79"/>
    <n v="194698.79"/>
    <x v="0"/>
    <m/>
    <s v="BHGE - GE"/>
    <x v="0"/>
    <x v="0"/>
  </r>
  <r>
    <n v="833"/>
    <m/>
    <m/>
    <n v="194698.79"/>
    <n v="194698.79"/>
    <x v="0"/>
    <m/>
    <s v="BHGE - GE"/>
    <x v="0"/>
    <x v="0"/>
  </r>
  <r>
    <n v="834"/>
    <m/>
    <m/>
    <n v="194698.79"/>
    <n v="194698.79"/>
    <x v="0"/>
    <m/>
    <s v="BHGE - GE"/>
    <x v="0"/>
    <x v="0"/>
  </r>
  <r>
    <n v="835"/>
    <m/>
    <m/>
    <n v="194698.79"/>
    <n v="194698.79"/>
    <x v="0"/>
    <m/>
    <s v="BHGE - GE"/>
    <x v="0"/>
    <x v="0"/>
  </r>
  <r>
    <n v="836"/>
    <m/>
    <m/>
    <n v="194698.79"/>
    <n v="194698.79"/>
    <x v="0"/>
    <m/>
    <s v="BHGE - GE"/>
    <x v="0"/>
    <x v="0"/>
  </r>
  <r>
    <n v="837"/>
    <m/>
    <m/>
    <n v="250199.31"/>
    <n v="250199.31"/>
    <x v="0"/>
    <m/>
    <s v="BHGE - GE"/>
    <x v="0"/>
    <x v="0"/>
  </r>
  <r>
    <n v="838"/>
    <m/>
    <m/>
    <n v="82983.13"/>
    <n v="82983.13"/>
    <x v="0"/>
    <m/>
    <s v="BHGE - GE"/>
    <x v="0"/>
    <x v="0"/>
  </r>
  <r>
    <n v="839"/>
    <m/>
    <m/>
    <n v="194698.79"/>
    <n v="194698.79"/>
    <x v="0"/>
    <m/>
    <s v="BHGE - GE"/>
    <x v="0"/>
    <x v="0"/>
  </r>
  <r>
    <n v="84"/>
    <m/>
    <m/>
    <n v="56250.560000000005"/>
    <n v="56250.560000000005"/>
    <x v="0"/>
    <m/>
    <s v="PRYSMIAN - VILA VELHA "/>
    <x v="0"/>
    <x v="0"/>
  </r>
  <r>
    <n v="840"/>
    <m/>
    <m/>
    <n v="194698.79"/>
    <n v="194698.79"/>
    <x v="0"/>
    <m/>
    <s v="BHGE - GE"/>
    <x v="0"/>
    <x v="0"/>
  </r>
  <r>
    <n v="841"/>
    <m/>
    <m/>
    <n v="194698.79"/>
    <n v="194698.79"/>
    <x v="0"/>
    <m/>
    <s v="BHGE - GE"/>
    <x v="0"/>
    <x v="0"/>
  </r>
  <r>
    <n v="842"/>
    <m/>
    <m/>
    <n v="194698.79"/>
    <n v="194698.79"/>
    <x v="0"/>
    <m/>
    <s v="BHGE - GE"/>
    <x v="0"/>
    <x v="0"/>
  </r>
  <r>
    <n v="843"/>
    <m/>
    <m/>
    <n v="194698.79"/>
    <n v="194698.79"/>
    <x v="0"/>
    <m/>
    <s v="BHGE - GE"/>
    <x v="0"/>
    <x v="0"/>
  </r>
  <r>
    <n v="844"/>
    <m/>
    <m/>
    <n v="125099.66"/>
    <n v="125099.66"/>
    <x v="0"/>
    <m/>
    <s v="BHGE - GE"/>
    <x v="0"/>
    <x v="0"/>
  </r>
  <r>
    <n v="845"/>
    <m/>
    <m/>
    <n v="125099.66"/>
    <n v="125099.66"/>
    <x v="0"/>
    <m/>
    <s v="BHGE - GE"/>
    <x v="0"/>
    <x v="0"/>
  </r>
  <r>
    <n v="846"/>
    <m/>
    <m/>
    <n v="125099.66"/>
    <n v="125099.66"/>
    <x v="0"/>
    <m/>
    <s v="BHGE - GE"/>
    <x v="0"/>
    <x v="0"/>
  </r>
  <r>
    <n v="847"/>
    <m/>
    <m/>
    <n v="224861.87"/>
    <n v="224861.87"/>
    <x v="0"/>
    <m/>
    <s v="BHGE - GE"/>
    <x v="0"/>
    <x v="0"/>
  </r>
  <r>
    <n v="848"/>
    <m/>
    <m/>
    <n v="125099.66"/>
    <n v="125099.66"/>
    <x v="0"/>
    <m/>
    <s v="BHGE - GE"/>
    <x v="0"/>
    <x v="0"/>
  </r>
  <r>
    <n v="849"/>
    <m/>
    <m/>
    <n v="125099.66"/>
    <n v="125099.66"/>
    <x v="0"/>
    <m/>
    <s v="BHGE - GE"/>
    <x v="0"/>
    <x v="0"/>
  </r>
  <r>
    <n v="85"/>
    <m/>
    <m/>
    <n v="56250.560000000005"/>
    <n v="56250.560000000005"/>
    <x v="0"/>
    <m/>
    <s v="PRYSMIAN - VILA VELHA "/>
    <x v="0"/>
    <x v="0"/>
  </r>
  <r>
    <n v="850"/>
    <m/>
    <m/>
    <n v="224861.87"/>
    <n v="224861.87"/>
    <x v="0"/>
    <m/>
    <s v="BHGE - GE"/>
    <x v="0"/>
    <x v="0"/>
  </r>
  <r>
    <n v="851"/>
    <m/>
    <m/>
    <n v="125099.66"/>
    <n v="125099.66"/>
    <x v="0"/>
    <m/>
    <s v="BHGE - GE"/>
    <x v="0"/>
    <x v="0"/>
  </r>
  <r>
    <n v="854"/>
    <m/>
    <m/>
    <n v="224861.87"/>
    <n v="224861.87"/>
    <x v="0"/>
    <m/>
    <s v="BHGE - GE"/>
    <x v="0"/>
    <x v="0"/>
  </r>
  <r>
    <n v="855"/>
    <m/>
    <m/>
    <n v="125099.66"/>
    <n v="125099.66"/>
    <x v="0"/>
    <m/>
    <s v="BHGE - GE"/>
    <x v="0"/>
    <x v="0"/>
  </r>
  <r>
    <n v="856"/>
    <m/>
    <m/>
    <n v="224861.87"/>
    <n v="224861.87"/>
    <x v="0"/>
    <m/>
    <s v="BHGE - GE"/>
    <x v="0"/>
    <x v="0"/>
  </r>
  <r>
    <n v="857"/>
    <m/>
    <m/>
    <n v="125099.66"/>
    <n v="125099.66"/>
    <x v="0"/>
    <m/>
    <s v="BHGE - GE"/>
    <x v="0"/>
    <x v="0"/>
  </r>
  <r>
    <n v="859"/>
    <m/>
    <m/>
    <n v="224861.87"/>
    <n v="224861.87"/>
    <x v="0"/>
    <m/>
    <s v="BHGE - GE"/>
    <x v="0"/>
    <x v="0"/>
  </r>
  <r>
    <n v="86"/>
    <m/>
    <m/>
    <n v="18264.830000000002"/>
    <n v="18264.830000000002"/>
    <x v="0"/>
    <m/>
    <s v="PRYSMIAN - VILA VELHA "/>
    <x v="0"/>
    <x v="0"/>
  </r>
  <r>
    <n v="860"/>
    <m/>
    <m/>
    <n v="125099.66"/>
    <n v="125099.66"/>
    <x v="0"/>
    <m/>
    <s v="BHGE - GE"/>
    <x v="0"/>
    <x v="0"/>
  </r>
  <r>
    <n v="863"/>
    <m/>
    <m/>
    <n v="224861.87"/>
    <n v="224861.87"/>
    <x v="0"/>
    <m/>
    <s v="BHGE - GE"/>
    <x v="0"/>
    <x v="0"/>
  </r>
  <r>
    <n v="864"/>
    <m/>
    <m/>
    <n v="125099.66"/>
    <n v="125099.66"/>
    <x v="0"/>
    <m/>
    <s v="BHGE - GE"/>
    <x v="0"/>
    <x v="0"/>
  </r>
  <r>
    <n v="865"/>
    <m/>
    <m/>
    <n v="224861.87"/>
    <n v="224861.87"/>
    <x v="0"/>
    <m/>
    <s v="BHGE - GE"/>
    <x v="0"/>
    <x v="0"/>
  </r>
  <r>
    <n v="866"/>
    <m/>
    <m/>
    <n v="224861.87"/>
    <n v="224861.87"/>
    <x v="0"/>
    <m/>
    <s v="BHGE - GE"/>
    <x v="0"/>
    <x v="0"/>
  </r>
  <r>
    <n v="867"/>
    <m/>
    <m/>
    <n v="125099.66"/>
    <n v="125099.66"/>
    <x v="0"/>
    <m/>
    <s v="BHGE - GE"/>
    <x v="0"/>
    <x v="0"/>
  </r>
  <r>
    <n v="868"/>
    <m/>
    <m/>
    <n v="158506.1"/>
    <n v="158506.1"/>
    <x v="0"/>
    <m/>
    <s v="BHGE - GE"/>
    <x v="0"/>
    <x v="0"/>
  </r>
  <r>
    <n v="869"/>
    <m/>
    <m/>
    <n v="165966.26"/>
    <n v="165966.26"/>
    <x v="0"/>
    <m/>
    <s v="BHGE - GE"/>
    <x v="0"/>
    <x v="0"/>
  </r>
  <r>
    <n v="87"/>
    <m/>
    <m/>
    <n v="28125.280000000002"/>
    <n v="28125.280000000002"/>
    <x v="0"/>
    <m/>
    <s v="PRYSMIAN - VILA VELHA "/>
    <x v="0"/>
    <x v="0"/>
  </r>
  <r>
    <n v="870"/>
    <m/>
    <m/>
    <n v="158506.1"/>
    <n v="158506.1"/>
    <x v="0"/>
    <m/>
    <s v="BHGE - GE"/>
    <x v="0"/>
    <x v="0"/>
  </r>
  <r>
    <n v="871"/>
    <m/>
    <m/>
    <n v="158506.1"/>
    <n v="158506.1"/>
    <x v="0"/>
    <m/>
    <s v="BHGE - GE"/>
    <x v="0"/>
    <x v="0"/>
  </r>
  <r>
    <n v="872"/>
    <m/>
    <m/>
    <n v="82983.13"/>
    <n v="82983.13"/>
    <x v="0"/>
    <m/>
    <s v="BHGE - GE"/>
    <x v="0"/>
    <x v="0"/>
  </r>
  <r>
    <n v="873"/>
    <m/>
    <m/>
    <n v="82983.13"/>
    <n v="82983.13"/>
    <x v="0"/>
    <m/>
    <s v="BHGE - GE"/>
    <x v="0"/>
    <x v="0"/>
  </r>
  <r>
    <n v="874"/>
    <m/>
    <m/>
    <n v="185427.42"/>
    <n v="185427.42"/>
    <x v="0"/>
    <m/>
    <s v="BHGE - GE"/>
    <x v="0"/>
    <x v="0"/>
  </r>
  <r>
    <n v="875"/>
    <m/>
    <m/>
    <n v="185427.42"/>
    <n v="185427.42"/>
    <x v="0"/>
    <m/>
    <s v="BHGE - GE"/>
    <x v="0"/>
    <x v="0"/>
  </r>
  <r>
    <n v="876"/>
    <m/>
    <m/>
    <n v="185427.42"/>
    <n v="185427.42"/>
    <x v="0"/>
    <m/>
    <s v="BHGE - GE"/>
    <x v="0"/>
    <x v="0"/>
  </r>
  <r>
    <n v="877"/>
    <m/>
    <m/>
    <n v="185427.42"/>
    <n v="185427.42"/>
    <x v="0"/>
    <m/>
    <s v="BHGE - GE"/>
    <x v="0"/>
    <x v="0"/>
  </r>
  <r>
    <n v="878"/>
    <m/>
    <m/>
    <n v="185427.42"/>
    <n v="185427.42"/>
    <x v="0"/>
    <m/>
    <s v="BHGE - GE"/>
    <x v="0"/>
    <x v="0"/>
  </r>
  <r>
    <n v="879"/>
    <m/>
    <m/>
    <n v="185427.42"/>
    <n v="185427.42"/>
    <x v="0"/>
    <m/>
    <s v="BHGE - GE"/>
    <x v="0"/>
    <x v="0"/>
  </r>
  <r>
    <n v="88"/>
    <m/>
    <m/>
    <n v="56250.560000000005"/>
    <n v="56250.560000000005"/>
    <x v="0"/>
    <m/>
    <s v="PRYSMIAN - VILA VELHA "/>
    <x v="0"/>
    <x v="0"/>
  </r>
  <r>
    <n v="880"/>
    <m/>
    <m/>
    <n v="119142.53"/>
    <n v="119142.53"/>
    <x v="0"/>
    <m/>
    <s v="BHGE - GE"/>
    <x v="0"/>
    <x v="0"/>
  </r>
  <r>
    <n v="881"/>
    <m/>
    <m/>
    <n v="119142.53"/>
    <n v="119142.53"/>
    <x v="0"/>
    <m/>
    <s v="BHGE - GE"/>
    <x v="0"/>
    <x v="0"/>
  </r>
  <r>
    <n v="882"/>
    <m/>
    <m/>
    <n v="119142.53"/>
    <n v="119142.53"/>
    <x v="0"/>
    <m/>
    <s v="BHGE - GE"/>
    <x v="0"/>
    <x v="0"/>
  </r>
  <r>
    <n v="883"/>
    <m/>
    <m/>
    <n v="119142.53"/>
    <n v="119142.53"/>
    <x v="0"/>
    <m/>
    <s v="BHGE - GE"/>
    <x v="0"/>
    <x v="0"/>
  </r>
  <r>
    <n v="884"/>
    <m/>
    <m/>
    <n v="119142.53"/>
    <n v="119142.53"/>
    <x v="0"/>
    <m/>
    <s v="BHGE - GE"/>
    <x v="0"/>
    <x v="0"/>
  </r>
  <r>
    <n v="885"/>
    <m/>
    <m/>
    <n v="238285.07"/>
    <n v="238285.07"/>
    <x v="0"/>
    <m/>
    <s v="BHGE - GE"/>
    <x v="0"/>
    <x v="0"/>
  </r>
  <r>
    <n v="886"/>
    <m/>
    <m/>
    <n v="150958.19"/>
    <n v="150958.19"/>
    <x v="0"/>
    <m/>
    <s v="BHGE - GE"/>
    <x v="0"/>
    <x v="0"/>
  </r>
  <r>
    <n v="887"/>
    <m/>
    <m/>
    <n v="79031.55"/>
    <n v="79031.55"/>
    <x v="0"/>
    <m/>
    <s v="BHGE - GE"/>
    <x v="0"/>
    <x v="0"/>
  </r>
  <r>
    <n v="888"/>
    <m/>
    <m/>
    <n v="150958.19"/>
    <n v="150958.19"/>
    <x v="0"/>
    <m/>
    <s v="BHGE - GE"/>
    <x v="0"/>
    <x v="0"/>
  </r>
  <r>
    <n v="889"/>
    <m/>
    <m/>
    <n v="79031.55"/>
    <n v="79031.55"/>
    <x v="0"/>
    <m/>
    <s v="BHGE - GE"/>
    <x v="0"/>
    <x v="0"/>
  </r>
  <r>
    <n v="89"/>
    <m/>
    <m/>
    <n v="56250.560000000005"/>
    <n v="56250.560000000005"/>
    <x v="0"/>
    <m/>
    <s v="PRYSMIAN - VILA VELHA "/>
    <x v="0"/>
    <x v="0"/>
  </r>
  <r>
    <n v="890"/>
    <m/>
    <m/>
    <n v="150958.19"/>
    <n v="150958.19"/>
    <x v="0"/>
    <m/>
    <s v="BHGE - GE"/>
    <x v="0"/>
    <x v="0"/>
  </r>
  <r>
    <n v="891"/>
    <m/>
    <m/>
    <n v="150958.19"/>
    <n v="150958.19"/>
    <x v="0"/>
    <m/>
    <s v="BHGE - GE"/>
    <x v="0"/>
    <x v="0"/>
  </r>
  <r>
    <n v="892"/>
    <m/>
    <m/>
    <n v="150958.19"/>
    <n v="150958.19"/>
    <x v="0"/>
    <m/>
    <s v="BHGE - GE"/>
    <x v="0"/>
    <x v="0"/>
  </r>
  <r>
    <n v="893"/>
    <m/>
    <m/>
    <n v="79031.55"/>
    <n v="79031.55"/>
    <x v="0"/>
    <m/>
    <s v="BHGE - GE"/>
    <x v="0"/>
    <x v="0"/>
  </r>
  <r>
    <n v="894"/>
    <m/>
    <m/>
    <n v="301916.37"/>
    <n v="301916.37"/>
    <x v="0"/>
    <m/>
    <s v="BHGE - GE"/>
    <x v="0"/>
    <x v="0"/>
  </r>
  <r>
    <n v="895"/>
    <m/>
    <m/>
    <n v="158063.09"/>
    <n v="158063.09"/>
    <x v="0"/>
    <m/>
    <s v="BHGE - GE"/>
    <x v="0"/>
    <x v="0"/>
  </r>
  <r>
    <n v="896"/>
    <m/>
    <m/>
    <n v="150958.19"/>
    <n v="150958.19"/>
    <x v="0"/>
    <m/>
    <s v="BHGE - GE"/>
    <x v="0"/>
    <x v="0"/>
  </r>
  <r>
    <n v="897"/>
    <m/>
    <m/>
    <n v="79031.55"/>
    <n v="79031.55"/>
    <x v="0"/>
    <m/>
    <s v="BHGE - GE"/>
    <x v="0"/>
    <x v="0"/>
  </r>
  <r>
    <n v="898"/>
    <m/>
    <m/>
    <n v="185427.42"/>
    <n v="185427.42"/>
    <x v="0"/>
    <m/>
    <s v="BHGE - GE"/>
    <x v="0"/>
    <x v="0"/>
  </r>
  <r>
    <n v="899"/>
    <m/>
    <m/>
    <n v="119142.53"/>
    <n v="119142.53"/>
    <x v="0"/>
    <m/>
    <s v="BHGE - GE"/>
    <x v="0"/>
    <x v="0"/>
  </r>
  <r>
    <n v="9"/>
    <m/>
    <m/>
    <n v="36776.47"/>
    <n v="36776.47"/>
    <x v="0"/>
    <m/>
    <s v="TECHNIP AÇÚ-RJ"/>
    <x v="0"/>
    <x v="0"/>
  </r>
  <r>
    <n v="90"/>
    <m/>
    <m/>
    <n v="11817.2"/>
    <n v="11817.2"/>
    <x v="0"/>
    <m/>
    <s v="TECHNIP VITÓRIA-ES"/>
    <x v="0"/>
    <x v="0"/>
  </r>
  <r>
    <n v="900"/>
    <m/>
    <m/>
    <n v="119142.53"/>
    <n v="119142.53"/>
    <x v="0"/>
    <m/>
    <s v="BHGE - GE"/>
    <x v="0"/>
    <x v="0"/>
  </r>
  <r>
    <n v="901"/>
    <m/>
    <m/>
    <n v="119142.53"/>
    <n v="119142.53"/>
    <x v="0"/>
    <m/>
    <s v="BHGE - GE"/>
    <x v="0"/>
    <x v="0"/>
  </r>
  <r>
    <n v="902"/>
    <m/>
    <m/>
    <n v="119142.53"/>
    <n v="119142.53"/>
    <x v="0"/>
    <m/>
    <s v="BHGE - GE"/>
    <x v="0"/>
    <x v="0"/>
  </r>
  <r>
    <n v="903"/>
    <m/>
    <m/>
    <n v="119142.53"/>
    <n v="119142.53"/>
    <x v="0"/>
    <m/>
    <s v="BHGE - GE"/>
    <x v="0"/>
    <x v="0"/>
  </r>
  <r>
    <n v="904"/>
    <m/>
    <m/>
    <n v="185427.42"/>
    <n v="185427.42"/>
    <x v="0"/>
    <m/>
    <s v="BHGE - GE"/>
    <x v="0"/>
    <x v="0"/>
  </r>
  <r>
    <n v="905"/>
    <m/>
    <m/>
    <n v="119142.53"/>
    <n v="119142.53"/>
    <x v="0"/>
    <m/>
    <s v="BHGE - GE"/>
    <x v="0"/>
    <x v="0"/>
  </r>
  <r>
    <n v="906"/>
    <m/>
    <m/>
    <n v="185427.42"/>
    <n v="185427.42"/>
    <x v="0"/>
    <m/>
    <s v="BHGE - GE"/>
    <x v="0"/>
    <x v="0"/>
  </r>
  <r>
    <n v="907"/>
    <m/>
    <m/>
    <n v="119142.53"/>
    <n v="119142.53"/>
    <x v="0"/>
    <m/>
    <s v="BHGE - GE"/>
    <x v="0"/>
    <x v="0"/>
  </r>
  <r>
    <n v="908"/>
    <m/>
    <m/>
    <n v="185427.42"/>
    <n v="185427.42"/>
    <x v="0"/>
    <m/>
    <s v="BHGE - GE"/>
    <x v="0"/>
    <x v="0"/>
  </r>
  <r>
    <n v="909"/>
    <m/>
    <m/>
    <n v="119142.53"/>
    <n v="119142.53"/>
    <x v="0"/>
    <m/>
    <s v="BHGE - GE"/>
    <x v="0"/>
    <x v="0"/>
  </r>
  <r>
    <n v="910"/>
    <m/>
    <m/>
    <n v="185427.42"/>
    <n v="185427.42"/>
    <x v="0"/>
    <m/>
    <s v="BHGE - GE"/>
    <x v="0"/>
    <x v="0"/>
  </r>
  <r>
    <n v="911"/>
    <m/>
    <m/>
    <n v="119142.53"/>
    <n v="119142.53"/>
    <x v="0"/>
    <m/>
    <s v="BHGE - GE"/>
    <x v="0"/>
    <x v="0"/>
  </r>
  <r>
    <n v="912"/>
    <m/>
    <m/>
    <n v="185427.42"/>
    <n v="185427.42"/>
    <x v="0"/>
    <m/>
    <s v="BHGE - GE"/>
    <x v="0"/>
    <x v="0"/>
  </r>
  <r>
    <n v="913"/>
    <m/>
    <m/>
    <n v="119142.53"/>
    <n v="119142.53"/>
    <x v="0"/>
    <m/>
    <s v="BHGE - GE"/>
    <x v="0"/>
    <x v="0"/>
  </r>
  <r>
    <n v="914"/>
    <m/>
    <m/>
    <n v="185427.42"/>
    <n v="185427.42"/>
    <x v="0"/>
    <m/>
    <s v="BHGE - GE"/>
    <x v="0"/>
    <x v="0"/>
  </r>
  <r>
    <n v="915"/>
    <m/>
    <m/>
    <n v="119142.53"/>
    <n v="119142.53"/>
    <x v="0"/>
    <m/>
    <s v="BHGE - GE"/>
    <x v="0"/>
    <x v="0"/>
  </r>
  <r>
    <n v="916"/>
    <m/>
    <m/>
    <n v="185427.42"/>
    <n v="185427.42"/>
    <x v="0"/>
    <m/>
    <s v="BHGE - GE"/>
    <x v="0"/>
    <x v="0"/>
  </r>
  <r>
    <n v="917"/>
    <m/>
    <m/>
    <n v="119142.53"/>
    <n v="119142.53"/>
    <x v="0"/>
    <m/>
    <s v="BHGE - GE"/>
    <x v="0"/>
    <x v="0"/>
  </r>
  <r>
    <n v="918"/>
    <m/>
    <m/>
    <n v="185427.42"/>
    <n v="185427.42"/>
    <x v="0"/>
    <m/>
    <s v="BHGE - GE"/>
    <x v="0"/>
    <x v="0"/>
  </r>
  <r>
    <n v="919"/>
    <m/>
    <m/>
    <n v="119142.53"/>
    <n v="119142.53"/>
    <x v="0"/>
    <m/>
    <s v="BHGE - GE"/>
    <x v="0"/>
    <x v="0"/>
  </r>
  <r>
    <n v="92"/>
    <m/>
    <m/>
    <n v="68126.39"/>
    <n v="68126.39"/>
    <x v="0"/>
    <m/>
    <s v="BHGE - GE"/>
    <x v="0"/>
    <x v="0"/>
  </r>
  <r>
    <n v="920"/>
    <m/>
    <m/>
    <n v="185427.42"/>
    <n v="185427.42"/>
    <x v="0"/>
    <m/>
    <s v="BHGE - GE"/>
    <x v="0"/>
    <x v="0"/>
  </r>
  <r>
    <n v="921"/>
    <m/>
    <m/>
    <n v="119142.53"/>
    <n v="119142.53"/>
    <x v="0"/>
    <m/>
    <s v="BHGE - GE"/>
    <x v="0"/>
    <x v="0"/>
  </r>
  <r>
    <n v="922"/>
    <m/>
    <m/>
    <n v="72183.28"/>
    <n v="72183.28"/>
    <x v="0"/>
    <m/>
    <s v="BHGE - GE"/>
    <x v="0"/>
    <x v="0"/>
  </r>
  <r>
    <n v="923"/>
    <m/>
    <m/>
    <n v="72183.28"/>
    <n v="72183.28"/>
    <x v="0"/>
    <m/>
    <s v="BHGE - GE"/>
    <x v="0"/>
    <x v="0"/>
  </r>
  <r>
    <n v="924"/>
    <m/>
    <m/>
    <n v="72183.28"/>
    <n v="72183.28"/>
    <x v="0"/>
    <m/>
    <s v="BHGE - GE"/>
    <x v="0"/>
    <x v="0"/>
  </r>
  <r>
    <n v="925"/>
    <m/>
    <m/>
    <n v="72183.28"/>
    <n v="72183.28"/>
    <x v="0"/>
    <m/>
    <s v="BHGE - GE"/>
    <x v="0"/>
    <x v="0"/>
  </r>
  <r>
    <n v="926"/>
    <m/>
    <m/>
    <n v="449723.74"/>
    <n v="449723.74"/>
    <x v="0"/>
    <m/>
    <s v="BHGE - GE"/>
    <x v="0"/>
    <x v="0"/>
  </r>
  <r>
    <n v="927"/>
    <m/>
    <m/>
    <n v="250199.31"/>
    <n v="250199.31"/>
    <x v="0"/>
    <m/>
    <s v="BHGE - GE"/>
    <x v="0"/>
    <x v="0"/>
  </r>
  <r>
    <n v="928"/>
    <m/>
    <m/>
    <n v="449723.74"/>
    <n v="449723.74"/>
    <x v="0"/>
    <m/>
    <s v="BHGE - GE"/>
    <x v="0"/>
    <x v="0"/>
  </r>
  <r>
    <n v="929"/>
    <m/>
    <m/>
    <n v="449723.74"/>
    <n v="449723.74"/>
    <x v="0"/>
    <m/>
    <s v="BHGE - GE"/>
    <x v="0"/>
    <x v="0"/>
  </r>
  <r>
    <n v="93"/>
    <m/>
    <m/>
    <n v="68126.39"/>
    <n v="68126.39"/>
    <x v="0"/>
    <m/>
    <s v="BHGE - GE"/>
    <x v="0"/>
    <x v="0"/>
  </r>
  <r>
    <n v="930"/>
    <m/>
    <m/>
    <n v="250199.31"/>
    <n v="250199.31"/>
    <x v="0"/>
    <m/>
    <s v="BHGE - GE"/>
    <x v="0"/>
    <x v="0"/>
  </r>
  <r>
    <n v="931"/>
    <n v="12054"/>
    <n v="153485.25"/>
    <n v="161159.51"/>
    <n v="7674.26"/>
    <x v="2"/>
    <n v="52"/>
    <s v="BHGE - GE"/>
    <x v="0"/>
    <x v="0"/>
  </r>
  <r>
    <n v="932"/>
    <m/>
    <m/>
    <n v="185427.42"/>
    <n v="185427.42"/>
    <x v="0"/>
    <m/>
    <s v="BHGE - GE"/>
    <x v="0"/>
    <x v="0"/>
  </r>
  <r>
    <n v="933"/>
    <m/>
    <m/>
    <n v="119142.53"/>
    <n v="119142.53"/>
    <x v="0"/>
    <m/>
    <s v="BHGE - GE"/>
    <x v="0"/>
    <x v="0"/>
  </r>
  <r>
    <n v="934"/>
    <m/>
    <m/>
    <n v="185427.42"/>
    <n v="185427.42"/>
    <x v="0"/>
    <m/>
    <s v="BHGE - GE"/>
    <x v="0"/>
    <x v="0"/>
  </r>
  <r>
    <n v="935"/>
    <m/>
    <m/>
    <n v="119142.53"/>
    <n v="119142.53"/>
    <x v="0"/>
    <m/>
    <s v="BHGE - GE"/>
    <x v="0"/>
    <x v="0"/>
  </r>
  <r>
    <n v="936"/>
    <m/>
    <m/>
    <n v="185427.42"/>
    <n v="185427.42"/>
    <x v="0"/>
    <m/>
    <s v="BHGE - GE"/>
    <x v="0"/>
    <x v="0"/>
  </r>
  <r>
    <n v="937"/>
    <m/>
    <m/>
    <n v="119142.53"/>
    <n v="119142.53"/>
    <x v="0"/>
    <m/>
    <s v="BHGE - GE"/>
    <x v="0"/>
    <x v="0"/>
  </r>
  <r>
    <n v="938"/>
    <m/>
    <m/>
    <n v="5029"/>
    <n v="5029"/>
    <x v="0"/>
    <m/>
    <s v="USIESP USINAGENS ESPECIAIS LTDA"/>
    <x v="0"/>
    <x v="0"/>
  </r>
  <r>
    <n v="939"/>
    <m/>
    <m/>
    <n v="20159.78"/>
    <n v="20159.78"/>
    <x v="0"/>
    <m/>
    <s v="BHGE - GE"/>
    <x v="0"/>
    <x v="0"/>
  </r>
  <r>
    <n v="94"/>
    <m/>
    <m/>
    <n v="68126.39"/>
    <n v="68126.39"/>
    <x v="0"/>
    <m/>
    <s v="BHGE - GE"/>
    <x v="0"/>
    <x v="0"/>
  </r>
  <r>
    <n v="940"/>
    <m/>
    <m/>
    <n v="101585.74"/>
    <n v="101585.74"/>
    <x v="0"/>
    <m/>
    <s v="BHGE - GE"/>
    <x v="0"/>
    <x v="0"/>
  </r>
  <r>
    <n v="941"/>
    <m/>
    <m/>
    <n v="3285000"/>
    <n v="3285000"/>
    <x v="0"/>
    <m/>
    <s v="METALVIX "/>
    <x v="0"/>
    <x v="0"/>
  </r>
  <r>
    <n v="942"/>
    <m/>
    <m/>
    <n v="6840000"/>
    <n v="6840000"/>
    <x v="0"/>
    <m/>
    <s v="METALVIX "/>
    <x v="0"/>
    <x v="0"/>
  </r>
  <r>
    <n v="943"/>
    <m/>
    <m/>
    <n v="299981.15999999997"/>
    <n v="299981.15999999997"/>
    <x v="0"/>
    <m/>
    <s v="METSO OUTOTEC BRASIL INDÚSTRIA E COMÉRCIO LTD"/>
    <x v="0"/>
    <x v="0"/>
  </r>
  <r>
    <n v="944"/>
    <m/>
    <m/>
    <n v="310555.17"/>
    <n v="310555.17"/>
    <x v="0"/>
    <m/>
    <s v="METSO OUTOTEC BRASIL INDÚSTRIA E COMÉRCIO LTD"/>
    <x v="0"/>
    <x v="0"/>
  </r>
  <r>
    <n v="945"/>
    <m/>
    <m/>
    <n v="167276.17000000001"/>
    <n v="167276.17000000001"/>
    <x v="0"/>
    <m/>
    <s v="METSO OUTOTEC BRASIL INDÚSTRIA E COMÉRCIO LTD"/>
    <x v="0"/>
    <x v="0"/>
  </r>
  <r>
    <n v="946"/>
    <m/>
    <m/>
    <n v="111682.51"/>
    <n v="111682.51"/>
    <x v="0"/>
    <m/>
    <s v="METSO OUTOTEC BRASIL INDÚSTRIA E COMÉRCIO LTD"/>
    <x v="0"/>
    <x v="0"/>
  </r>
  <r>
    <n v="947"/>
    <m/>
    <m/>
    <n v="84903.17"/>
    <n v="84903.17"/>
    <x v="0"/>
    <m/>
    <s v="METSO OUTOTEC BRASIL INDÚSTRIA E COMÉRCIO LTD"/>
    <x v="0"/>
    <x v="0"/>
  </r>
  <r>
    <n v="948"/>
    <m/>
    <m/>
    <n v="64023.16"/>
    <n v="64023.16"/>
    <x v="0"/>
    <m/>
    <s v="METSO OUTOTEC BRASIL INDÚSTRIA E COMÉRCIO LTD"/>
    <x v="0"/>
    <x v="0"/>
  </r>
  <r>
    <n v="949"/>
    <m/>
    <m/>
    <n v="26768.05"/>
    <n v="26768.05"/>
    <x v="0"/>
    <m/>
    <s v="METSO OUTOTEC BRASIL INDÚSTRIA E COMÉRCIO LTD"/>
    <x v="0"/>
    <x v="0"/>
  </r>
  <r>
    <n v="950"/>
    <m/>
    <m/>
    <n v="167276.17000000001"/>
    <n v="167276.17000000001"/>
    <x v="0"/>
    <m/>
    <s v="METSO OUTOTEC BRASIL INDÚSTRIA E COMÉRCIO LTD"/>
    <x v="0"/>
    <x v="0"/>
  </r>
  <r>
    <n v="951"/>
    <m/>
    <m/>
    <n v="111682.51"/>
    <n v="111682.51"/>
    <x v="0"/>
    <m/>
    <s v="METSO OUTOTEC BRASIL INDÚSTRIA E COMÉRCIO LTD"/>
    <x v="0"/>
    <x v="0"/>
  </r>
  <r>
    <n v="952"/>
    <m/>
    <m/>
    <n v="84903.17"/>
    <n v="84903.17"/>
    <x v="0"/>
    <m/>
    <s v="METSO OUTOTEC BRASIL INDÚSTRIA E COMÉRCIO LTD"/>
    <x v="0"/>
    <x v="0"/>
  </r>
  <r>
    <n v="953"/>
    <m/>
    <m/>
    <n v="64023.16"/>
    <n v="64023.16"/>
    <x v="0"/>
    <m/>
    <s v="METSO OUTOTEC BRASIL INDÚSTRIA E COMÉRCIO LTD"/>
    <x v="0"/>
    <x v="0"/>
  </r>
  <r>
    <n v="954"/>
    <m/>
    <m/>
    <n v="26768.05"/>
    <n v="26768.05"/>
    <x v="0"/>
    <m/>
    <s v="METSO OUTOTEC BRASIL INDÚSTRIA E COMÉRCIO LTD"/>
    <x v="0"/>
    <x v="0"/>
  </r>
  <r>
    <n v="955"/>
    <m/>
    <m/>
    <n v="111944.58"/>
    <n v="111944.58"/>
    <x v="0"/>
    <m/>
    <s v="BHGE - GE"/>
    <x v="0"/>
    <x v="0"/>
  </r>
  <r>
    <n v="956"/>
    <m/>
    <m/>
    <n v="122186.65"/>
    <n v="122186.65"/>
    <x v="0"/>
    <m/>
    <s v="BHGE - GE"/>
    <x v="0"/>
    <x v="0"/>
  </r>
  <r>
    <n v="957"/>
    <n v="11918"/>
    <n v="44801.66"/>
    <n v="44801.66"/>
    <n v="0"/>
    <x v="48"/>
    <n v="46"/>
    <s v="METSO OUTOTEC BRASIL INDÚSTRIA E COMÉRCIO LTD"/>
    <x v="0"/>
    <x v="0"/>
  </r>
  <r>
    <n v="958"/>
    <m/>
    <m/>
    <n v="127459.14"/>
    <n v="127459.14"/>
    <x v="0"/>
    <m/>
    <s v="BHGE - GE"/>
    <x v="0"/>
    <x v="0"/>
  </r>
  <r>
    <n v="959"/>
    <m/>
    <m/>
    <n v="127459.14"/>
    <n v="127459.14"/>
    <x v="0"/>
    <m/>
    <s v="BHGE - GE"/>
    <x v="0"/>
    <x v="0"/>
  </r>
  <r>
    <n v="960"/>
    <m/>
    <m/>
    <n v="127459.14"/>
    <n v="127459.14"/>
    <x v="0"/>
    <m/>
    <s v="BHGE - GE"/>
    <x v="0"/>
    <x v="0"/>
  </r>
  <r>
    <n v="961"/>
    <m/>
    <m/>
    <n v="127459.14"/>
    <n v="127459.14"/>
    <x v="0"/>
    <m/>
    <s v="BHGE - GE"/>
    <x v="0"/>
    <x v="0"/>
  </r>
  <r>
    <n v="962"/>
    <m/>
    <m/>
    <n v="127459.14"/>
    <n v="127459.14"/>
    <x v="0"/>
    <m/>
    <s v="BHGE - GE"/>
    <x v="0"/>
    <x v="0"/>
  </r>
  <r>
    <n v="963"/>
    <m/>
    <m/>
    <n v="254918.29"/>
    <n v="254918.29"/>
    <x v="0"/>
    <m/>
    <s v="BHGE - GE"/>
    <x v="0"/>
    <x v="0"/>
  </r>
  <r>
    <n v="964"/>
    <m/>
    <m/>
    <n v="254918.29"/>
    <n v="254918.29"/>
    <x v="0"/>
    <m/>
    <s v="BHGE - GE"/>
    <x v="0"/>
    <x v="0"/>
  </r>
  <r>
    <n v="965"/>
    <m/>
    <m/>
    <n v="254918.29"/>
    <n v="254918.29"/>
    <x v="0"/>
    <m/>
    <s v="BHGE - GE"/>
    <x v="0"/>
    <x v="0"/>
  </r>
  <r>
    <n v="966"/>
    <m/>
    <m/>
    <n v="254918.29"/>
    <n v="254918.29"/>
    <x v="0"/>
    <m/>
    <s v="BHGE - GE"/>
    <x v="0"/>
    <x v="0"/>
  </r>
  <r>
    <n v="967"/>
    <m/>
    <m/>
    <n v="254918.29"/>
    <n v="254918.29"/>
    <x v="0"/>
    <m/>
    <s v="BHGE - GE"/>
    <x v="0"/>
    <x v="0"/>
  </r>
  <r>
    <n v="968"/>
    <m/>
    <m/>
    <n v="254918.29"/>
    <n v="254918.29"/>
    <x v="0"/>
    <m/>
    <s v="BHGE - GE"/>
    <x v="0"/>
    <x v="0"/>
  </r>
  <r>
    <n v="969"/>
    <m/>
    <m/>
    <n v="213065.56"/>
    <n v="213065.56"/>
    <x v="0"/>
    <m/>
    <s v="BHGE - GE"/>
    <x v="0"/>
    <x v="0"/>
  </r>
  <r>
    <n v="970"/>
    <m/>
    <m/>
    <n v="213065.56"/>
    <n v="213065.56"/>
    <x v="0"/>
    <m/>
    <s v="BHGE - GE"/>
    <x v="0"/>
    <x v="0"/>
  </r>
  <r>
    <n v="971"/>
    <m/>
    <m/>
    <n v="213065.56"/>
    <n v="213065.56"/>
    <x v="0"/>
    <m/>
    <s v="BHGE - GE"/>
    <x v="0"/>
    <x v="0"/>
  </r>
  <r>
    <n v="972"/>
    <m/>
    <m/>
    <n v="48573.95"/>
    <n v="48573.95"/>
    <x v="0"/>
    <m/>
    <s v="TECHNIP AÇÚ-RJ"/>
    <x v="0"/>
    <x v="0"/>
  </r>
  <r>
    <n v="973"/>
    <m/>
    <m/>
    <n v="48573.95"/>
    <n v="48573.95"/>
    <x v="0"/>
    <m/>
    <s v="TECHNIP AÇÚ-RJ"/>
    <x v="0"/>
    <x v="0"/>
  </r>
  <r>
    <n v="974"/>
    <m/>
    <m/>
    <n v="48573.95"/>
    <n v="48573.95"/>
    <x v="0"/>
    <m/>
    <s v="TECHNIP AÇÚ-RJ"/>
    <x v="0"/>
    <x v="0"/>
  </r>
  <r>
    <n v="975"/>
    <m/>
    <m/>
    <n v="48573.95"/>
    <n v="48573.95"/>
    <x v="0"/>
    <m/>
    <s v="TECHNIP AÇÚ-RJ"/>
    <x v="0"/>
    <x v="0"/>
  </r>
  <r>
    <n v="976"/>
    <m/>
    <m/>
    <n v="48573.95"/>
    <n v="48573.95"/>
    <x v="0"/>
    <m/>
    <s v="TECHNIP AÇÚ-RJ"/>
    <x v="0"/>
    <x v="0"/>
  </r>
  <r>
    <n v="977"/>
    <m/>
    <m/>
    <n v="48573.95"/>
    <n v="48573.95"/>
    <x v="0"/>
    <m/>
    <s v="TECHNIP AÇÚ-RJ"/>
    <x v="0"/>
    <x v="0"/>
  </r>
  <r>
    <n v="978"/>
    <m/>
    <m/>
    <n v="48573.95"/>
    <n v="48573.95"/>
    <x v="0"/>
    <m/>
    <s v="TECHNIP AÇÚ-RJ"/>
    <x v="0"/>
    <x v="0"/>
  </r>
  <r>
    <n v="979"/>
    <m/>
    <m/>
    <n v="48573.95"/>
    <n v="48573.95"/>
    <x v="0"/>
    <m/>
    <s v="TECHNIP AÇÚ-RJ"/>
    <x v="0"/>
    <x v="0"/>
  </r>
  <r>
    <n v="98"/>
    <m/>
    <m/>
    <n v="139578.20000000001"/>
    <n v="139578.20000000001"/>
    <x v="0"/>
    <m/>
    <s v="TECHNIP AÇÚ-RJ"/>
    <x v="0"/>
    <x v="0"/>
  </r>
  <r>
    <n v="980"/>
    <m/>
    <m/>
    <n v="48573.95"/>
    <n v="48573.95"/>
    <x v="0"/>
    <m/>
    <s v="TECHNIP AÇÚ-RJ"/>
    <x v="0"/>
    <x v="0"/>
  </r>
  <r>
    <n v="981"/>
    <m/>
    <m/>
    <n v="48573.95"/>
    <n v="48573.95"/>
    <x v="0"/>
    <m/>
    <s v="TECHNIP AÇÚ-RJ"/>
    <x v="0"/>
    <x v="0"/>
  </r>
  <r>
    <n v="982"/>
    <m/>
    <m/>
    <n v="48573.95"/>
    <n v="48573.95"/>
    <x v="0"/>
    <m/>
    <s v="TECHNIP AÇÚ-RJ"/>
    <x v="0"/>
    <x v="0"/>
  </r>
  <r>
    <n v="983"/>
    <m/>
    <m/>
    <n v="48573.95"/>
    <n v="48573.95"/>
    <x v="0"/>
    <m/>
    <s v="TECHNIP AÇÚ-RJ"/>
    <x v="0"/>
    <x v="0"/>
  </r>
  <r>
    <n v="984"/>
    <m/>
    <m/>
    <n v="48573.95"/>
    <n v="48573.95"/>
    <x v="0"/>
    <m/>
    <s v="TECHNIP AÇÚ-RJ"/>
    <x v="0"/>
    <x v="0"/>
  </r>
  <r>
    <n v="985"/>
    <m/>
    <m/>
    <n v="48573.95"/>
    <n v="48573.95"/>
    <x v="0"/>
    <m/>
    <s v="TECHNIP AÇÚ-RJ"/>
    <x v="0"/>
    <x v="0"/>
  </r>
  <r>
    <n v="986"/>
    <m/>
    <m/>
    <n v="48573.95"/>
    <n v="48573.95"/>
    <x v="0"/>
    <m/>
    <s v="TECHNIP AÇÚ-RJ"/>
    <x v="0"/>
    <x v="0"/>
  </r>
  <r>
    <n v="987"/>
    <m/>
    <m/>
    <n v="48573.95"/>
    <n v="48573.95"/>
    <x v="0"/>
    <m/>
    <s v="TECHNIP AÇÚ-RJ"/>
    <x v="0"/>
    <x v="0"/>
  </r>
  <r>
    <n v="988"/>
    <m/>
    <m/>
    <n v="48573.95"/>
    <n v="48573.95"/>
    <x v="0"/>
    <m/>
    <s v="TECHNIP AÇÚ-RJ"/>
    <x v="0"/>
    <x v="0"/>
  </r>
  <r>
    <n v="989"/>
    <m/>
    <m/>
    <n v="48573.95"/>
    <n v="48573.95"/>
    <x v="0"/>
    <m/>
    <s v="TECHNIP AÇÚ-RJ"/>
    <x v="0"/>
    <x v="0"/>
  </r>
  <r>
    <n v="99"/>
    <m/>
    <m/>
    <n v="5520.4800000000005"/>
    <n v="5520.4800000000005"/>
    <x v="0"/>
    <m/>
    <s v="ARCELOR MITTAL"/>
    <x v="0"/>
    <x v="0"/>
  </r>
  <r>
    <n v="990"/>
    <m/>
    <m/>
    <n v="48573.95"/>
    <n v="48573.95"/>
    <x v="0"/>
    <m/>
    <s v="TECHNIP AÇÚ-RJ"/>
    <x v="0"/>
    <x v="0"/>
  </r>
  <r>
    <n v="991"/>
    <m/>
    <m/>
    <n v="48573.95"/>
    <n v="48573.95"/>
    <x v="0"/>
    <m/>
    <s v="TECHNIP AÇÚ-RJ"/>
    <x v="0"/>
    <x v="0"/>
  </r>
  <r>
    <n v="992"/>
    <m/>
    <m/>
    <n v="48573.95"/>
    <n v="48573.95"/>
    <x v="0"/>
    <m/>
    <s v="TECHNIP AÇÚ-RJ"/>
    <x v="0"/>
    <x v="0"/>
  </r>
  <r>
    <n v="993"/>
    <m/>
    <m/>
    <n v="48573.95"/>
    <n v="48573.95"/>
    <x v="0"/>
    <m/>
    <s v="TECHNIP AÇÚ-RJ"/>
    <x v="0"/>
    <x v="0"/>
  </r>
  <r>
    <n v="994"/>
    <m/>
    <m/>
    <n v="48573.95"/>
    <n v="48573.95"/>
    <x v="0"/>
    <m/>
    <s v="TECHNIP AÇÚ-RJ"/>
    <x v="0"/>
    <x v="0"/>
  </r>
  <r>
    <n v="995"/>
    <m/>
    <m/>
    <n v="48573.95"/>
    <n v="48573.95"/>
    <x v="0"/>
    <m/>
    <s v="TECHNIP AÇÚ-RJ"/>
    <x v="0"/>
    <x v="0"/>
  </r>
  <r>
    <n v="996"/>
    <m/>
    <m/>
    <n v="48573.95"/>
    <n v="48573.95"/>
    <x v="0"/>
    <m/>
    <s v="TECHNIP AÇÚ-RJ"/>
    <x v="0"/>
    <x v="0"/>
  </r>
  <r>
    <n v="997"/>
    <m/>
    <m/>
    <n v="48573.95"/>
    <n v="48573.95"/>
    <x v="0"/>
    <m/>
    <s v="TECHNIP AÇÚ-RJ"/>
    <x v="0"/>
    <x v="0"/>
  </r>
  <r>
    <n v="998"/>
    <m/>
    <m/>
    <n v="48573.95"/>
    <n v="48573.95"/>
    <x v="0"/>
    <m/>
    <s v="TECHNIP AÇÚ-RJ"/>
    <x v="0"/>
    <x v="0"/>
  </r>
  <r>
    <n v="999"/>
    <m/>
    <m/>
    <n v="48573.95"/>
    <n v="48573.95"/>
    <x v="0"/>
    <m/>
    <s v="TECHNIP AÇÚ-RJ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255F7A-D788-4DFA-9CFC-EA0D878ECE67}" name="DB1-1" cacheId="4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8" indent="0" compact="0" compactData="0" multipleFieldFilters="0" fieldListSortAscending="1">
  <location ref="A3:B4" firstHeaderRow="1" firstDataRow="1" firstDataCol="1" rowPageCount="1" colPageCount="1"/>
  <pivotFields count="11"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showAll="0" defaultSubtotal="0">
      <items count="4">
        <item x="0"/>
        <item x="1"/>
        <item x="2"/>
        <item x="3"/>
      </items>
    </pivotField>
  </pivotFields>
  <rowFields count="1">
    <field x="5"/>
  </rowFields>
  <rowItems count="1">
    <i>
      <x v="1"/>
    </i>
  </rowItems>
  <colItems count="1">
    <i/>
  </colItems>
  <pageFields count="1">
    <pageField fld="10" item="2" hier="-1"/>
  </pageFields>
  <dataFields count="1">
    <dataField name="Soma de Valor Médio da OS" fld="2" baseField="0" baseItem="0" numFmtId="165"/>
  </dataFields>
  <formats count="5">
    <format dxfId="11">
      <pivotArea type="all" dataOnly="0" outline="0" fieldPosition="0"/>
    </format>
    <format dxfId="10">
      <pivotArea outline="0" collapsedLevelsAreSubtotals="1" fieldPosition="0"/>
    </format>
    <format dxfId="9">
      <pivotArea field="5" type="button" dataOnly="0" labelOnly="1" outline="0" axis="axisRow" fieldPosition="0"/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110CE174-30CC-4625-9CF1-5512B75AC8AE}" autoFormatId="16" applyNumberFormats="0" applyBorderFormats="0" applyFontFormats="0" applyPatternFormats="0" applyAlignmentFormats="0" applyWidthHeightFormats="0">
  <queryTableRefresh nextId="33">
    <queryTableFields count="10">
      <queryTableField id="1" name="OS" tableColumnId="1"/>
      <queryTableField id="2" name="NF" tableColumnId="2"/>
      <queryTableField id="5" name="Valor Médio da OS" tableColumnId="5"/>
      <queryTableField id="11" name="Valor Orçado" tableColumnId="11"/>
      <queryTableField id="28" name="Valor Restante a Faturar" tableColumnId="6"/>
      <queryTableField id="14" name="Data de Emissão da NF" tableColumnId="14"/>
      <queryTableField id="15" name="Semana de Emissão da NF" tableColumnId="15"/>
      <queryTableField id="30" name="Cliente" tableColumnId="7"/>
      <queryTableField id="31" name="Carteirista" tableColumnId="8"/>
      <queryTableField id="32" name="Gestor(a) de Contratos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F29C15-DB5D-48CE-9CA5-48D03E1E9DB8}" name="vwFaturamentoOS" displayName="vwFaturamentoOS" ref="A1:J1230" tableType="queryTable" totalsRowShown="0" headerRowDxfId="12">
  <autoFilter ref="A1:J1230" xr:uid="{A0F29C15-DB5D-48CE-9CA5-48D03E1E9DB8}"/>
  <sortState xmlns:xlrd2="http://schemas.microsoft.com/office/spreadsheetml/2017/richdata2" ref="A2:J1230">
    <sortCondition descending="1" ref="F1:F1230"/>
  </sortState>
  <tableColumns count="10">
    <tableColumn id="1" xr3:uid="{E59F48AB-7AC9-4CC7-AE0C-80CBD5BCC4D6}" uniqueName="1" name="OS" queryTableFieldId="1"/>
    <tableColumn id="2" xr3:uid="{BD34C55D-6C6B-445D-983F-718EA6427D29}" uniqueName="2" name="NF" queryTableFieldId="2"/>
    <tableColumn id="5" xr3:uid="{A3DA8DB9-D850-4A02-9CCF-E888877D022B}" uniqueName="5" name="Valor Médio da OS" queryTableFieldId="5" dataDxfId="6" dataCellStyle="Moeda"/>
    <tableColumn id="11" xr3:uid="{499A6EE3-0EAC-4069-B06D-08BEA0770E8B}" uniqueName="11" name="Valor Orçado" queryTableFieldId="11" dataDxfId="5" dataCellStyle="Moeda"/>
    <tableColumn id="6" xr3:uid="{79727433-C79D-48FC-AF46-75689670DBEF}" uniqueName="6" name="Valor Restante a Faturar" queryTableFieldId="28" dataDxfId="4" dataCellStyle="Moeda"/>
    <tableColumn id="14" xr3:uid="{2E260E96-7613-47C9-A62B-3CDCB9B7B9F8}" uniqueName="14" name="Data de Emissão da NF" queryTableFieldId="14" dataDxfId="3"/>
    <tableColumn id="15" xr3:uid="{D0004619-9608-40DC-9FA6-A8D285458C65}" uniqueName="15" name="Semana de Emissão da NF" queryTableFieldId="15"/>
    <tableColumn id="7" xr3:uid="{5628C711-43D8-4F56-8161-011568B7DC36}" uniqueName="7" name="Cliente" queryTableFieldId="30" dataDxfId="2" dataCellStyle="Moeda"/>
    <tableColumn id="8" xr3:uid="{0ECF7860-39E8-4DB7-8BAC-2556D0AA39FE}" uniqueName="8" name="Carteirista" queryTableFieldId="31" dataDxfId="1"/>
    <tableColumn id="9" xr3:uid="{74EE75C8-647C-4C3E-B463-F7096A1D4D4D}" uniqueName="9" name="Gestor(a) de Contratos" queryTableFieldId="32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8D94E-C2A8-4B15-BB69-EC7A217A10F8}">
  <sheetPr codeName="Planilha1">
    <pageSetUpPr fitToPage="1"/>
  </sheetPr>
  <dimension ref="A1:O1230"/>
  <sheetViews>
    <sheetView workbookViewId="0">
      <selection activeCell="B8" sqref="B8"/>
    </sheetView>
  </sheetViews>
  <sheetFormatPr defaultRowHeight="15" x14ac:dyDescent="0.25"/>
  <cols>
    <col min="1" max="2" width="8" bestFit="1" customWidth="1"/>
    <col min="3" max="3" width="22.7109375" style="2" bestFit="1" customWidth="1"/>
    <col min="4" max="4" width="17.42578125" bestFit="1" customWidth="1"/>
    <col min="5" max="5" width="26.28515625" style="2" bestFit="1" customWidth="1"/>
    <col min="6" max="6" width="25.5703125" bestFit="1" customWidth="1"/>
    <col min="7" max="7" width="28.7109375" style="2" bestFit="1" customWidth="1"/>
    <col min="8" max="8" width="50.42578125" bestFit="1" customWidth="1"/>
    <col min="9" max="9" width="26.7109375" bestFit="1" customWidth="1"/>
    <col min="10" max="10" width="42.140625" bestFit="1" customWidth="1"/>
    <col min="11" max="11" width="26.7109375" bestFit="1" customWidth="1"/>
    <col min="12" max="12" width="42.140625" bestFit="1" customWidth="1"/>
    <col min="13" max="13" width="17.42578125" bestFit="1" customWidth="1"/>
    <col min="14" max="14" width="24.85546875" bestFit="1" customWidth="1"/>
    <col min="15" max="15" width="29.7109375" style="2" bestFit="1" customWidth="1"/>
    <col min="16" max="16" width="25.5703125" bestFit="1" customWidth="1"/>
    <col min="17" max="17" width="28.7109375" bestFit="1" customWidth="1"/>
    <col min="18" max="18" width="27.5703125" bestFit="1" customWidth="1"/>
    <col min="19" max="19" width="33.140625" bestFit="1" customWidth="1"/>
    <col min="20" max="20" width="25.5703125" bestFit="1" customWidth="1"/>
    <col min="21" max="21" width="28.7109375" bestFit="1" customWidth="1"/>
    <col min="22" max="22" width="27.5703125" customWidth="1"/>
    <col min="23" max="23" width="25.28515625" bestFit="1" customWidth="1"/>
  </cols>
  <sheetData>
    <row r="1" spans="1:15" s="3" customFormat="1" x14ac:dyDescent="0.25">
      <c r="A1" s="3" t="s">
        <v>46</v>
      </c>
      <c r="B1" s="3" t="s">
        <v>47</v>
      </c>
      <c r="C1" s="4" t="s">
        <v>48</v>
      </c>
      <c r="D1" s="4" t="s">
        <v>51</v>
      </c>
      <c r="E1" s="2" t="s">
        <v>86</v>
      </c>
      <c r="F1" s="3" t="s">
        <v>43</v>
      </c>
      <c r="G1" s="3" t="s">
        <v>52</v>
      </c>
      <c r="H1" t="s">
        <v>49</v>
      </c>
      <c r="I1" t="s">
        <v>50</v>
      </c>
      <c r="J1" t="s">
        <v>109</v>
      </c>
    </row>
    <row r="2" spans="1:15" x14ac:dyDescent="0.25">
      <c r="A2">
        <v>392</v>
      </c>
      <c r="B2">
        <v>12073</v>
      </c>
      <c r="C2" s="2">
        <v>474934</v>
      </c>
      <c r="D2" s="2">
        <v>19885000</v>
      </c>
      <c r="E2" s="2">
        <v>17985264</v>
      </c>
      <c r="F2" s="1">
        <v>44929</v>
      </c>
      <c r="G2">
        <v>1</v>
      </c>
      <c r="H2" s="36" t="s">
        <v>119</v>
      </c>
      <c r="I2" s="48" t="s">
        <v>113</v>
      </c>
      <c r="J2" s="48" t="s">
        <v>120</v>
      </c>
      <c r="O2"/>
    </row>
    <row r="3" spans="1:15" x14ac:dyDescent="0.25">
      <c r="A3">
        <v>1071</v>
      </c>
      <c r="B3">
        <v>12068</v>
      </c>
      <c r="C3" s="2">
        <v>124647.32</v>
      </c>
      <c r="D3" s="2">
        <v>124647.32</v>
      </c>
      <c r="E3" s="2">
        <v>0</v>
      </c>
      <c r="F3" s="1">
        <v>44924</v>
      </c>
      <c r="G3">
        <v>53</v>
      </c>
      <c r="H3" s="36" t="s">
        <v>54</v>
      </c>
      <c r="I3" s="48"/>
      <c r="J3" s="48"/>
      <c r="O3"/>
    </row>
    <row r="4" spans="1:15" x14ac:dyDescent="0.25">
      <c r="A4">
        <v>367</v>
      </c>
      <c r="B4">
        <v>12064</v>
      </c>
      <c r="C4" s="2">
        <v>-111171.63</v>
      </c>
      <c r="D4" s="2">
        <v>13896453.720000001</v>
      </c>
      <c r="E4" s="2">
        <v>4162190.1</v>
      </c>
      <c r="F4" s="1">
        <v>44924</v>
      </c>
      <c r="G4">
        <v>53</v>
      </c>
      <c r="H4" s="36" t="s">
        <v>64</v>
      </c>
      <c r="I4" s="48" t="s">
        <v>117</v>
      </c>
      <c r="J4" s="48" t="s">
        <v>115</v>
      </c>
      <c r="O4"/>
    </row>
    <row r="5" spans="1:15" x14ac:dyDescent="0.25">
      <c r="A5">
        <v>718</v>
      </c>
      <c r="B5">
        <v>12066</v>
      </c>
      <c r="C5" s="2">
        <v>128698.36</v>
      </c>
      <c r="D5" s="2">
        <v>130879.69</v>
      </c>
      <c r="E5" s="2">
        <v>2181.33</v>
      </c>
      <c r="F5" s="1">
        <v>44924</v>
      </c>
      <c r="G5">
        <v>53</v>
      </c>
      <c r="H5" s="36" t="s">
        <v>54</v>
      </c>
      <c r="I5" s="48" t="s">
        <v>106</v>
      </c>
      <c r="J5" s="48" t="s">
        <v>107</v>
      </c>
      <c r="O5"/>
    </row>
    <row r="6" spans="1:15" x14ac:dyDescent="0.25">
      <c r="A6">
        <v>719</v>
      </c>
      <c r="B6">
        <v>12066</v>
      </c>
      <c r="C6" s="2">
        <v>63157.02</v>
      </c>
      <c r="D6" s="2">
        <v>64227.48</v>
      </c>
      <c r="E6" s="2">
        <v>1070.46</v>
      </c>
      <c r="F6" s="1">
        <v>44924</v>
      </c>
      <c r="G6">
        <v>53</v>
      </c>
      <c r="H6" s="36" t="s">
        <v>54</v>
      </c>
      <c r="I6" s="48" t="s">
        <v>106</v>
      </c>
      <c r="J6" s="48" t="s">
        <v>107</v>
      </c>
      <c r="O6"/>
    </row>
    <row r="7" spans="1:15" x14ac:dyDescent="0.25">
      <c r="A7">
        <v>721</v>
      </c>
      <c r="B7">
        <v>12067</v>
      </c>
      <c r="C7" s="2">
        <v>128698.36</v>
      </c>
      <c r="D7" s="2">
        <v>130879.69</v>
      </c>
      <c r="E7" s="2">
        <v>2181.33</v>
      </c>
      <c r="F7" s="1">
        <v>44924</v>
      </c>
      <c r="G7">
        <v>53</v>
      </c>
      <c r="H7" s="36" t="s">
        <v>54</v>
      </c>
      <c r="I7" s="48" t="s">
        <v>106</v>
      </c>
      <c r="J7" s="48" t="s">
        <v>107</v>
      </c>
      <c r="O7"/>
    </row>
    <row r="8" spans="1:15" x14ac:dyDescent="0.25">
      <c r="A8">
        <v>722</v>
      </c>
      <c r="B8">
        <v>12067</v>
      </c>
      <c r="C8" s="2">
        <v>128698.36</v>
      </c>
      <c r="D8" s="2">
        <v>130879.69</v>
      </c>
      <c r="E8" s="2">
        <v>2181.33</v>
      </c>
      <c r="F8" s="1">
        <v>44924</v>
      </c>
      <c r="G8">
        <v>53</v>
      </c>
      <c r="H8" s="36" t="s">
        <v>54</v>
      </c>
      <c r="I8" s="48" t="s">
        <v>106</v>
      </c>
      <c r="J8" s="48" t="s">
        <v>107</v>
      </c>
      <c r="O8"/>
    </row>
    <row r="9" spans="1:15" x14ac:dyDescent="0.25">
      <c r="A9">
        <v>723</v>
      </c>
      <c r="B9">
        <v>12067</v>
      </c>
      <c r="C9" s="2">
        <v>63157.02</v>
      </c>
      <c r="D9" s="2">
        <v>64227.48</v>
      </c>
      <c r="E9" s="2">
        <v>1070.46</v>
      </c>
      <c r="F9" s="1">
        <v>44924</v>
      </c>
      <c r="G9">
        <v>53</v>
      </c>
      <c r="H9" s="36" t="s">
        <v>54</v>
      </c>
      <c r="I9" s="48"/>
      <c r="J9" s="48"/>
      <c r="O9"/>
    </row>
    <row r="10" spans="1:15" x14ac:dyDescent="0.25">
      <c r="A10">
        <v>724</v>
      </c>
      <c r="B10">
        <v>12067</v>
      </c>
      <c r="C10" s="2">
        <v>63157.02</v>
      </c>
      <c r="D10" s="2">
        <v>64227.48</v>
      </c>
      <c r="E10" s="2">
        <v>1070.46</v>
      </c>
      <c r="F10" s="1">
        <v>44924</v>
      </c>
      <c r="G10">
        <v>53</v>
      </c>
      <c r="H10" s="36" t="s">
        <v>54</v>
      </c>
      <c r="I10" s="48" t="s">
        <v>106</v>
      </c>
      <c r="J10" s="48" t="s">
        <v>107</v>
      </c>
      <c r="O10"/>
    </row>
    <row r="11" spans="1:15" x14ac:dyDescent="0.25">
      <c r="A11">
        <v>367</v>
      </c>
      <c r="B11">
        <v>12062</v>
      </c>
      <c r="C11" s="2">
        <v>411335.03</v>
      </c>
      <c r="D11" s="2">
        <v>13896453.720000001</v>
      </c>
      <c r="E11" s="2">
        <v>4162190.1</v>
      </c>
      <c r="F11" s="1">
        <v>44922</v>
      </c>
      <c r="G11">
        <v>53</v>
      </c>
      <c r="H11" s="36" t="s">
        <v>64</v>
      </c>
      <c r="I11" s="48" t="s">
        <v>117</v>
      </c>
      <c r="J11" s="48" t="s">
        <v>115</v>
      </c>
      <c r="O11"/>
    </row>
    <row r="12" spans="1:15" x14ac:dyDescent="0.25">
      <c r="A12">
        <v>367</v>
      </c>
      <c r="B12">
        <v>12059</v>
      </c>
      <c r="C12" s="2">
        <v>111171.63</v>
      </c>
      <c r="D12" s="2">
        <v>13896453.720000001</v>
      </c>
      <c r="E12" s="2">
        <v>4162190.1</v>
      </c>
      <c r="F12" s="1">
        <v>44922</v>
      </c>
      <c r="G12">
        <v>53</v>
      </c>
      <c r="H12" s="36" t="s">
        <v>64</v>
      </c>
      <c r="I12" s="48" t="s">
        <v>117</v>
      </c>
      <c r="J12" s="48" t="s">
        <v>115</v>
      </c>
      <c r="O12"/>
    </row>
    <row r="13" spans="1:15" x14ac:dyDescent="0.25">
      <c r="A13">
        <v>367</v>
      </c>
      <c r="B13">
        <v>12060</v>
      </c>
      <c r="C13" s="2">
        <v>152860.99</v>
      </c>
      <c r="D13" s="2">
        <v>13896453.720000001</v>
      </c>
      <c r="E13" s="2">
        <v>4162190.1</v>
      </c>
      <c r="F13" s="1">
        <v>44922</v>
      </c>
      <c r="G13">
        <v>53</v>
      </c>
      <c r="H13" s="36" t="s">
        <v>64</v>
      </c>
      <c r="I13" s="48" t="s">
        <v>117</v>
      </c>
      <c r="J13" s="48" t="s">
        <v>115</v>
      </c>
      <c r="O13"/>
    </row>
    <row r="14" spans="1:15" x14ac:dyDescent="0.25">
      <c r="A14">
        <v>367</v>
      </c>
      <c r="B14">
        <v>12061</v>
      </c>
      <c r="C14" s="2">
        <v>152860.99</v>
      </c>
      <c r="D14" s="2">
        <v>13896453.720000001</v>
      </c>
      <c r="E14" s="2">
        <v>4162190.1</v>
      </c>
      <c r="F14" s="1">
        <v>44922</v>
      </c>
      <c r="G14">
        <v>53</v>
      </c>
      <c r="H14" s="36" t="s">
        <v>64</v>
      </c>
      <c r="I14" s="48" t="s">
        <v>117</v>
      </c>
      <c r="J14" s="48" t="s">
        <v>115</v>
      </c>
      <c r="O14"/>
    </row>
    <row r="15" spans="1:15" x14ac:dyDescent="0.25">
      <c r="A15">
        <v>368</v>
      </c>
      <c r="B15">
        <v>12060</v>
      </c>
      <c r="C15" s="2">
        <v>71212.740000000005</v>
      </c>
      <c r="D15" s="2">
        <v>712127.43</v>
      </c>
      <c r="E15" s="2">
        <v>0</v>
      </c>
      <c r="F15" s="1">
        <v>44922</v>
      </c>
      <c r="G15">
        <v>53</v>
      </c>
      <c r="H15" s="36" t="s">
        <v>64</v>
      </c>
      <c r="I15" s="48" t="s">
        <v>117</v>
      </c>
      <c r="J15" s="48" t="s">
        <v>115</v>
      </c>
      <c r="O15"/>
    </row>
    <row r="16" spans="1:15" x14ac:dyDescent="0.25">
      <c r="A16">
        <v>368</v>
      </c>
      <c r="B16">
        <v>12061</v>
      </c>
      <c r="C16" s="2">
        <v>71212.740000000005</v>
      </c>
      <c r="D16" s="2">
        <v>712127.43</v>
      </c>
      <c r="E16" s="2">
        <v>0</v>
      </c>
      <c r="F16" s="1">
        <v>44922</v>
      </c>
      <c r="G16">
        <v>53</v>
      </c>
      <c r="H16" s="36" t="s">
        <v>64</v>
      </c>
      <c r="I16" s="48" t="s">
        <v>117</v>
      </c>
      <c r="J16" s="48" t="s">
        <v>115</v>
      </c>
      <c r="O16"/>
    </row>
    <row r="17" spans="1:15" x14ac:dyDescent="0.25">
      <c r="A17">
        <v>368</v>
      </c>
      <c r="B17">
        <v>12062</v>
      </c>
      <c r="C17" s="2">
        <v>71212.740000000005</v>
      </c>
      <c r="D17" s="2">
        <v>712127.43</v>
      </c>
      <c r="E17" s="2">
        <v>0</v>
      </c>
      <c r="F17" s="1">
        <v>44922</v>
      </c>
      <c r="G17">
        <v>53</v>
      </c>
      <c r="H17" s="36" t="s">
        <v>64</v>
      </c>
      <c r="I17" s="48" t="s">
        <v>117</v>
      </c>
      <c r="J17" s="48" t="s">
        <v>115</v>
      </c>
      <c r="O17"/>
    </row>
    <row r="18" spans="1:15" x14ac:dyDescent="0.25">
      <c r="A18">
        <v>1028</v>
      </c>
      <c r="B18">
        <v>12055</v>
      </c>
      <c r="C18" s="2">
        <v>153485.25</v>
      </c>
      <c r="D18" s="2">
        <v>161159.51</v>
      </c>
      <c r="E18" s="2">
        <v>7674.26</v>
      </c>
      <c r="F18" s="1">
        <v>44918</v>
      </c>
      <c r="G18">
        <v>52</v>
      </c>
      <c r="H18" s="36" t="s">
        <v>56</v>
      </c>
      <c r="I18" s="48"/>
      <c r="J18" s="48"/>
      <c r="O18"/>
    </row>
    <row r="19" spans="1:15" x14ac:dyDescent="0.25">
      <c r="A19">
        <v>1029</v>
      </c>
      <c r="B19">
        <v>12055</v>
      </c>
      <c r="C19" s="2">
        <v>153485.25</v>
      </c>
      <c r="D19" s="2">
        <v>161159.51</v>
      </c>
      <c r="E19" s="2">
        <v>7674.26</v>
      </c>
      <c r="F19" s="1">
        <v>44918</v>
      </c>
      <c r="G19">
        <v>52</v>
      </c>
      <c r="H19" s="36" t="s">
        <v>56</v>
      </c>
      <c r="I19" s="48"/>
      <c r="J19" s="48"/>
      <c r="O19"/>
    </row>
    <row r="20" spans="1:15" x14ac:dyDescent="0.25">
      <c r="A20">
        <v>1030</v>
      </c>
      <c r="B20">
        <v>12055</v>
      </c>
      <c r="C20" s="2">
        <v>153485.25</v>
      </c>
      <c r="D20" s="2">
        <v>161159.51</v>
      </c>
      <c r="E20" s="2">
        <v>7674.26</v>
      </c>
      <c r="F20" s="1">
        <v>44918</v>
      </c>
      <c r="G20">
        <v>52</v>
      </c>
      <c r="H20" s="36" t="s">
        <v>56</v>
      </c>
      <c r="I20" s="48"/>
      <c r="J20" s="48"/>
      <c r="O20"/>
    </row>
    <row r="21" spans="1:15" x14ac:dyDescent="0.25">
      <c r="A21">
        <v>1031</v>
      </c>
      <c r="B21">
        <v>12055</v>
      </c>
      <c r="C21" s="2">
        <v>153485.25</v>
      </c>
      <c r="D21" s="2">
        <v>161159.51</v>
      </c>
      <c r="E21" s="2">
        <v>7674.26</v>
      </c>
      <c r="F21" s="1">
        <v>44918</v>
      </c>
      <c r="G21">
        <v>52</v>
      </c>
      <c r="H21" s="36" t="s">
        <v>56</v>
      </c>
      <c r="I21" s="48"/>
      <c r="J21" s="48"/>
      <c r="O21"/>
    </row>
    <row r="22" spans="1:15" x14ac:dyDescent="0.25">
      <c r="A22">
        <v>367</v>
      </c>
      <c r="B22">
        <v>12056</v>
      </c>
      <c r="C22" s="2">
        <v>152860.99</v>
      </c>
      <c r="D22" s="2">
        <v>13896453.720000001</v>
      </c>
      <c r="E22" s="2">
        <v>4162190.1</v>
      </c>
      <c r="F22" s="1">
        <v>44918</v>
      </c>
      <c r="G22">
        <v>52</v>
      </c>
      <c r="H22" s="36" t="s">
        <v>64</v>
      </c>
      <c r="I22" s="48" t="s">
        <v>117</v>
      </c>
      <c r="J22" s="48" t="s">
        <v>115</v>
      </c>
      <c r="O22"/>
    </row>
    <row r="23" spans="1:15" x14ac:dyDescent="0.25">
      <c r="A23">
        <v>368</v>
      </c>
      <c r="B23">
        <v>12056</v>
      </c>
      <c r="C23" s="2">
        <v>71212.740000000005</v>
      </c>
      <c r="D23" s="2">
        <v>712127.43</v>
      </c>
      <c r="E23" s="2">
        <v>0</v>
      </c>
      <c r="F23" s="1">
        <v>44918</v>
      </c>
      <c r="G23">
        <v>52</v>
      </c>
      <c r="H23" s="36" t="s">
        <v>64</v>
      </c>
      <c r="I23" s="48" t="s">
        <v>117</v>
      </c>
      <c r="J23" s="48" t="s">
        <v>115</v>
      </c>
      <c r="O23"/>
    </row>
    <row r="24" spans="1:15" x14ac:dyDescent="0.25">
      <c r="A24">
        <v>931</v>
      </c>
      <c r="B24">
        <v>12054</v>
      </c>
      <c r="C24" s="2">
        <v>153485.25</v>
      </c>
      <c r="D24" s="2">
        <v>161159.51</v>
      </c>
      <c r="E24" s="2">
        <v>7674.26</v>
      </c>
      <c r="F24" s="1">
        <v>44918</v>
      </c>
      <c r="G24">
        <v>52</v>
      </c>
      <c r="H24" s="36" t="s">
        <v>56</v>
      </c>
      <c r="I24" s="48"/>
      <c r="J24" s="48"/>
      <c r="O24"/>
    </row>
    <row r="25" spans="1:15" x14ac:dyDescent="0.25">
      <c r="A25">
        <v>1017</v>
      </c>
      <c r="B25">
        <v>352</v>
      </c>
      <c r="C25" s="2">
        <v>95278.68</v>
      </c>
      <c r="D25" s="2">
        <v>87853.5</v>
      </c>
      <c r="E25" s="2">
        <v>0</v>
      </c>
      <c r="F25" s="1">
        <v>44917</v>
      </c>
      <c r="G25">
        <v>52</v>
      </c>
      <c r="H25" s="36" t="s">
        <v>56</v>
      </c>
      <c r="I25" s="48"/>
      <c r="J25" s="48"/>
      <c r="O25"/>
    </row>
    <row r="26" spans="1:15" x14ac:dyDescent="0.25">
      <c r="A26">
        <v>1077</v>
      </c>
      <c r="B26">
        <v>350</v>
      </c>
      <c r="C26" s="2">
        <v>48791.8</v>
      </c>
      <c r="D26" s="2">
        <v>15943.32</v>
      </c>
      <c r="E26" s="2">
        <v>0</v>
      </c>
      <c r="F26" s="1">
        <v>44917</v>
      </c>
      <c r="G26">
        <v>52</v>
      </c>
      <c r="H26" s="36" t="s">
        <v>58</v>
      </c>
      <c r="I26" s="48"/>
      <c r="J26" s="48"/>
      <c r="O26"/>
    </row>
    <row r="27" spans="1:15" x14ac:dyDescent="0.25">
      <c r="A27">
        <v>1085</v>
      </c>
      <c r="B27">
        <v>351</v>
      </c>
      <c r="C27" s="2">
        <v>63773.279999999999</v>
      </c>
      <c r="D27" s="2">
        <v>15943.32</v>
      </c>
      <c r="E27" s="2">
        <v>0</v>
      </c>
      <c r="F27" s="1">
        <v>44917</v>
      </c>
      <c r="G27">
        <v>52</v>
      </c>
      <c r="H27" s="36" t="s">
        <v>58</v>
      </c>
      <c r="I27" s="48"/>
      <c r="J27" s="48"/>
      <c r="O27"/>
    </row>
    <row r="28" spans="1:15" x14ac:dyDescent="0.25">
      <c r="A28">
        <v>367</v>
      </c>
      <c r="B28">
        <v>12051</v>
      </c>
      <c r="C28" s="2">
        <v>152860.99</v>
      </c>
      <c r="D28" s="2">
        <v>13896453.720000001</v>
      </c>
      <c r="E28" s="2">
        <v>4162190.1</v>
      </c>
      <c r="F28" s="1">
        <v>44917</v>
      </c>
      <c r="G28">
        <v>52</v>
      </c>
      <c r="H28" s="36" t="s">
        <v>64</v>
      </c>
      <c r="I28" s="48" t="s">
        <v>117</v>
      </c>
      <c r="J28" s="48" t="s">
        <v>115</v>
      </c>
      <c r="O28"/>
    </row>
    <row r="29" spans="1:15" x14ac:dyDescent="0.25">
      <c r="A29">
        <v>368</v>
      </c>
      <c r="B29">
        <v>12051</v>
      </c>
      <c r="C29" s="2">
        <v>71212.740000000005</v>
      </c>
      <c r="D29" s="2">
        <v>712127.43</v>
      </c>
      <c r="E29" s="2">
        <v>0</v>
      </c>
      <c r="F29" s="1">
        <v>44917</v>
      </c>
      <c r="G29">
        <v>52</v>
      </c>
      <c r="H29" s="36" t="s">
        <v>64</v>
      </c>
      <c r="I29" s="48" t="s">
        <v>117</v>
      </c>
      <c r="J29" s="48" t="s">
        <v>115</v>
      </c>
      <c r="O29"/>
    </row>
    <row r="30" spans="1:15" x14ac:dyDescent="0.25">
      <c r="A30">
        <v>657</v>
      </c>
      <c r="B30">
        <v>12050</v>
      </c>
      <c r="C30" s="2">
        <v>84988.010000000009</v>
      </c>
      <c r="D30" s="2">
        <v>84988.01</v>
      </c>
      <c r="E30" s="2">
        <v>0</v>
      </c>
      <c r="F30" s="1">
        <v>44917</v>
      </c>
      <c r="G30">
        <v>52</v>
      </c>
      <c r="H30" s="36" t="s">
        <v>54</v>
      </c>
      <c r="I30" s="48" t="s">
        <v>106</v>
      </c>
      <c r="J30" s="48" t="s">
        <v>107</v>
      </c>
      <c r="O30"/>
    </row>
    <row r="31" spans="1:15" x14ac:dyDescent="0.25">
      <c r="A31">
        <v>1090</v>
      </c>
      <c r="B31">
        <v>12048</v>
      </c>
      <c r="C31" s="2">
        <v>2669.89</v>
      </c>
      <c r="D31" s="2">
        <v>2669.89</v>
      </c>
      <c r="E31" s="2">
        <v>0</v>
      </c>
      <c r="F31" s="1">
        <v>44916</v>
      </c>
      <c r="G31">
        <v>52</v>
      </c>
      <c r="H31" s="36" t="s">
        <v>108</v>
      </c>
      <c r="I31" s="48"/>
      <c r="J31" s="48"/>
      <c r="O31"/>
    </row>
    <row r="32" spans="1:15" x14ac:dyDescent="0.25">
      <c r="A32">
        <v>699</v>
      </c>
      <c r="B32">
        <v>12043</v>
      </c>
      <c r="C32" s="2">
        <v>98897.91</v>
      </c>
      <c r="D32" s="2">
        <v>100574.14</v>
      </c>
      <c r="E32" s="2">
        <v>1676.23</v>
      </c>
      <c r="F32" s="1">
        <v>44916</v>
      </c>
      <c r="G32">
        <v>52</v>
      </c>
      <c r="H32" s="36" t="s">
        <v>56</v>
      </c>
      <c r="I32" s="48" t="s">
        <v>106</v>
      </c>
      <c r="J32" s="48" t="s">
        <v>107</v>
      </c>
      <c r="O32"/>
    </row>
    <row r="33" spans="1:15" x14ac:dyDescent="0.25">
      <c r="A33">
        <v>700</v>
      </c>
      <c r="B33">
        <v>12043</v>
      </c>
      <c r="C33" s="2">
        <v>98897.91</v>
      </c>
      <c r="D33" s="2">
        <v>100574.14</v>
      </c>
      <c r="E33" s="2">
        <v>1676.23</v>
      </c>
      <c r="F33" s="1">
        <v>44916</v>
      </c>
      <c r="G33">
        <v>52</v>
      </c>
      <c r="H33" s="36" t="s">
        <v>56</v>
      </c>
      <c r="I33" s="48" t="s">
        <v>106</v>
      </c>
      <c r="J33" s="48" t="s">
        <v>107</v>
      </c>
      <c r="O33"/>
    </row>
    <row r="34" spans="1:15" x14ac:dyDescent="0.25">
      <c r="A34">
        <v>701</v>
      </c>
      <c r="B34">
        <v>12043</v>
      </c>
      <c r="C34" s="2">
        <v>197795.82</v>
      </c>
      <c r="D34" s="2">
        <v>201148.29</v>
      </c>
      <c r="E34" s="2">
        <v>3352.47</v>
      </c>
      <c r="F34" s="1">
        <v>44916</v>
      </c>
      <c r="G34">
        <v>52</v>
      </c>
      <c r="H34" s="36" t="s">
        <v>56</v>
      </c>
      <c r="I34" s="48" t="s">
        <v>106</v>
      </c>
      <c r="J34" s="48" t="s">
        <v>107</v>
      </c>
      <c r="O34"/>
    </row>
    <row r="35" spans="1:15" x14ac:dyDescent="0.25">
      <c r="A35">
        <v>710</v>
      </c>
      <c r="B35">
        <v>12045</v>
      </c>
      <c r="C35" s="2">
        <v>95567.23</v>
      </c>
      <c r="D35" s="2">
        <v>97187.01</v>
      </c>
      <c r="E35" s="2">
        <v>1619.78</v>
      </c>
      <c r="F35" s="1">
        <v>44916</v>
      </c>
      <c r="G35">
        <v>52</v>
      </c>
      <c r="H35" s="36" t="s">
        <v>54</v>
      </c>
      <c r="I35" s="48" t="s">
        <v>106</v>
      </c>
      <c r="J35" s="48" t="s">
        <v>107</v>
      </c>
      <c r="O35"/>
    </row>
    <row r="36" spans="1:15" x14ac:dyDescent="0.25">
      <c r="A36">
        <v>714</v>
      </c>
      <c r="B36">
        <v>12045</v>
      </c>
      <c r="C36" s="2">
        <v>95827.35</v>
      </c>
      <c r="D36" s="2">
        <v>97451.54</v>
      </c>
      <c r="E36" s="2">
        <v>1624.19</v>
      </c>
      <c r="F36" s="1">
        <v>44916</v>
      </c>
      <c r="G36">
        <v>52</v>
      </c>
      <c r="H36" s="36" t="s">
        <v>54</v>
      </c>
      <c r="I36" s="48"/>
      <c r="J36" s="48"/>
      <c r="O36"/>
    </row>
    <row r="37" spans="1:15" x14ac:dyDescent="0.25">
      <c r="A37">
        <v>715</v>
      </c>
      <c r="B37">
        <v>12045</v>
      </c>
      <c r="C37" s="2">
        <v>95827.35</v>
      </c>
      <c r="D37" s="2">
        <v>97451.54</v>
      </c>
      <c r="E37" s="2">
        <v>1624.19</v>
      </c>
      <c r="F37" s="1">
        <v>44916</v>
      </c>
      <c r="G37">
        <v>52</v>
      </c>
      <c r="H37" s="36" t="s">
        <v>54</v>
      </c>
      <c r="I37" s="48" t="s">
        <v>106</v>
      </c>
      <c r="J37" s="48" t="s">
        <v>107</v>
      </c>
      <c r="O37"/>
    </row>
    <row r="38" spans="1:15" x14ac:dyDescent="0.25">
      <c r="A38">
        <v>716</v>
      </c>
      <c r="B38">
        <v>12045</v>
      </c>
      <c r="C38" s="2">
        <v>95827.35</v>
      </c>
      <c r="D38" s="2">
        <v>97451.54</v>
      </c>
      <c r="E38" s="2">
        <v>1624.19</v>
      </c>
      <c r="F38" s="1">
        <v>44916</v>
      </c>
      <c r="G38">
        <v>52</v>
      </c>
      <c r="H38" s="36" t="s">
        <v>54</v>
      </c>
      <c r="I38" s="48" t="s">
        <v>106</v>
      </c>
      <c r="J38" s="48" t="s">
        <v>107</v>
      </c>
      <c r="O38"/>
    </row>
    <row r="39" spans="1:15" x14ac:dyDescent="0.25">
      <c r="A39">
        <v>720</v>
      </c>
      <c r="B39">
        <v>12044</v>
      </c>
      <c r="C39" s="2">
        <v>154536.88999999998</v>
      </c>
      <c r="D39" s="2">
        <v>157156.16</v>
      </c>
      <c r="E39" s="2">
        <v>2619.27</v>
      </c>
      <c r="F39" s="1">
        <v>44916</v>
      </c>
      <c r="G39">
        <v>52</v>
      </c>
      <c r="H39" s="36" t="s">
        <v>54</v>
      </c>
      <c r="I39" s="48" t="s">
        <v>106</v>
      </c>
      <c r="J39" s="48" t="s">
        <v>107</v>
      </c>
      <c r="O39"/>
    </row>
    <row r="40" spans="1:15" x14ac:dyDescent="0.25">
      <c r="A40">
        <v>751</v>
      </c>
      <c r="B40">
        <v>12039</v>
      </c>
      <c r="C40" s="2">
        <v>-53081.07</v>
      </c>
      <c r="D40" s="2">
        <v>51145.75</v>
      </c>
      <c r="E40" s="2">
        <v>51145.75</v>
      </c>
      <c r="F40" s="1">
        <v>44912</v>
      </c>
      <c r="G40">
        <v>51</v>
      </c>
      <c r="H40" s="36" t="s">
        <v>56</v>
      </c>
      <c r="I40" s="48" t="s">
        <v>106</v>
      </c>
      <c r="J40" s="48" t="s">
        <v>107</v>
      </c>
      <c r="O40"/>
    </row>
    <row r="41" spans="1:15" x14ac:dyDescent="0.25">
      <c r="A41">
        <v>752</v>
      </c>
      <c r="B41">
        <v>12039</v>
      </c>
      <c r="C41" s="2">
        <v>-53081.07</v>
      </c>
      <c r="D41" s="2">
        <v>51145.75</v>
      </c>
      <c r="E41" s="2">
        <v>51145.75</v>
      </c>
      <c r="F41" s="1">
        <v>44912</v>
      </c>
      <c r="G41">
        <v>51</v>
      </c>
      <c r="H41" s="36" t="s">
        <v>56</v>
      </c>
      <c r="I41" s="48"/>
      <c r="J41" s="48"/>
      <c r="O41"/>
    </row>
    <row r="42" spans="1:15" x14ac:dyDescent="0.25">
      <c r="A42">
        <v>753</v>
      </c>
      <c r="B42">
        <v>12039</v>
      </c>
      <c r="C42" s="2">
        <v>-50293.32</v>
      </c>
      <c r="D42" s="2">
        <v>51145.75</v>
      </c>
      <c r="E42" s="2">
        <v>51145.75</v>
      </c>
      <c r="F42" s="1">
        <v>44912</v>
      </c>
      <c r="G42">
        <v>51</v>
      </c>
      <c r="H42" s="36" t="s">
        <v>56</v>
      </c>
      <c r="I42" s="48"/>
      <c r="J42" s="48"/>
      <c r="O42"/>
    </row>
    <row r="43" spans="1:15" x14ac:dyDescent="0.25">
      <c r="A43">
        <v>754</v>
      </c>
      <c r="B43">
        <v>12039</v>
      </c>
      <c r="C43" s="2">
        <v>-50293.32</v>
      </c>
      <c r="D43" s="2">
        <v>51145.75</v>
      </c>
      <c r="E43" s="2">
        <v>51145.75</v>
      </c>
      <c r="F43" s="1">
        <v>44912</v>
      </c>
      <c r="G43">
        <v>51</v>
      </c>
      <c r="H43" s="36" t="s">
        <v>56</v>
      </c>
      <c r="I43" s="48"/>
      <c r="J43" s="48"/>
      <c r="O43"/>
    </row>
    <row r="44" spans="1:15" x14ac:dyDescent="0.25">
      <c r="A44">
        <v>367</v>
      </c>
      <c r="B44">
        <v>12037</v>
      </c>
      <c r="C44" s="2">
        <v>152860.99</v>
      </c>
      <c r="D44" s="2">
        <v>13896453.720000001</v>
      </c>
      <c r="E44" s="2">
        <v>4162190.1</v>
      </c>
      <c r="F44" s="1">
        <v>44911</v>
      </c>
      <c r="G44">
        <v>51</v>
      </c>
      <c r="H44" s="36" t="s">
        <v>64</v>
      </c>
      <c r="I44" s="48" t="s">
        <v>117</v>
      </c>
      <c r="J44" s="48" t="s">
        <v>115</v>
      </c>
      <c r="O44"/>
    </row>
    <row r="45" spans="1:15" x14ac:dyDescent="0.25">
      <c r="A45">
        <v>368</v>
      </c>
      <c r="B45">
        <v>12037</v>
      </c>
      <c r="C45" s="2">
        <v>71212.740000000005</v>
      </c>
      <c r="D45" s="2">
        <v>712127.43</v>
      </c>
      <c r="E45" s="2">
        <v>0</v>
      </c>
      <c r="F45" s="1">
        <v>44911</v>
      </c>
      <c r="G45">
        <v>51</v>
      </c>
      <c r="H45" s="36" t="s">
        <v>64</v>
      </c>
      <c r="I45" s="48" t="s">
        <v>117</v>
      </c>
      <c r="J45" s="48" t="s">
        <v>115</v>
      </c>
      <c r="O45"/>
    </row>
    <row r="46" spans="1:15" x14ac:dyDescent="0.25">
      <c r="A46">
        <v>392</v>
      </c>
      <c r="B46">
        <v>12035</v>
      </c>
      <c r="C46" s="2">
        <v>237467</v>
      </c>
      <c r="D46" s="2">
        <v>19885000</v>
      </c>
      <c r="E46" s="2">
        <v>17985264</v>
      </c>
      <c r="F46" s="1">
        <v>44911</v>
      </c>
      <c r="G46">
        <v>51</v>
      </c>
      <c r="H46" s="36" t="s">
        <v>119</v>
      </c>
      <c r="I46" s="48" t="s">
        <v>113</v>
      </c>
      <c r="J46" s="48" t="s">
        <v>120</v>
      </c>
      <c r="O46"/>
    </row>
    <row r="47" spans="1:15" x14ac:dyDescent="0.25">
      <c r="A47">
        <v>675</v>
      </c>
      <c r="B47">
        <v>12032</v>
      </c>
      <c r="C47" s="2">
        <v>503780.37</v>
      </c>
      <c r="D47" s="2">
        <v>512413.52</v>
      </c>
      <c r="E47" s="2">
        <v>8633.15</v>
      </c>
      <c r="F47" s="1">
        <v>44910</v>
      </c>
      <c r="G47">
        <v>51</v>
      </c>
      <c r="H47" s="36" t="s">
        <v>56</v>
      </c>
      <c r="I47" s="48" t="s">
        <v>106</v>
      </c>
      <c r="J47" s="48" t="s">
        <v>107</v>
      </c>
      <c r="O47"/>
    </row>
    <row r="48" spans="1:15" x14ac:dyDescent="0.25">
      <c r="A48">
        <v>677</v>
      </c>
      <c r="B48">
        <v>12032</v>
      </c>
      <c r="C48" s="2">
        <v>167926.78999999998</v>
      </c>
      <c r="D48" s="2">
        <v>170804.51</v>
      </c>
      <c r="E48" s="2">
        <v>2877.72</v>
      </c>
      <c r="F48" s="1">
        <v>44910</v>
      </c>
      <c r="G48">
        <v>51</v>
      </c>
      <c r="H48" s="36" t="s">
        <v>56</v>
      </c>
      <c r="I48" s="48" t="s">
        <v>106</v>
      </c>
      <c r="J48" s="48" t="s">
        <v>107</v>
      </c>
      <c r="O48"/>
    </row>
    <row r="49" spans="1:15" x14ac:dyDescent="0.25">
      <c r="A49">
        <v>679</v>
      </c>
      <c r="B49">
        <v>12031</v>
      </c>
      <c r="C49" s="2">
        <v>167957.77</v>
      </c>
      <c r="D49" s="2">
        <v>170804.51</v>
      </c>
      <c r="E49" s="2">
        <v>2846.74</v>
      </c>
      <c r="F49" s="1">
        <v>44910</v>
      </c>
      <c r="G49">
        <v>51</v>
      </c>
      <c r="H49" s="36" t="s">
        <v>56</v>
      </c>
      <c r="I49" s="48" t="s">
        <v>106</v>
      </c>
      <c r="J49" s="48" t="s">
        <v>107</v>
      </c>
      <c r="O49"/>
    </row>
    <row r="50" spans="1:15" x14ac:dyDescent="0.25">
      <c r="A50">
        <v>681</v>
      </c>
      <c r="B50">
        <v>12031</v>
      </c>
      <c r="C50" s="2">
        <v>335915.52999999997</v>
      </c>
      <c r="D50" s="2">
        <v>341609.02</v>
      </c>
      <c r="E50" s="2">
        <v>5693.49</v>
      </c>
      <c r="F50" s="1">
        <v>44910</v>
      </c>
      <c r="G50">
        <v>51</v>
      </c>
      <c r="H50" s="36" t="s">
        <v>56</v>
      </c>
      <c r="I50" s="48" t="s">
        <v>106</v>
      </c>
      <c r="J50" s="48" t="s">
        <v>107</v>
      </c>
      <c r="O50"/>
    </row>
    <row r="51" spans="1:15" x14ac:dyDescent="0.25">
      <c r="A51">
        <v>751</v>
      </c>
      <c r="B51">
        <v>12033</v>
      </c>
      <c r="C51" s="2">
        <v>53081.07</v>
      </c>
      <c r="D51" s="2">
        <v>51145.75</v>
      </c>
      <c r="E51" s="2">
        <v>51145.75</v>
      </c>
      <c r="F51" s="1">
        <v>44910</v>
      </c>
      <c r="G51">
        <v>51</v>
      </c>
      <c r="H51" s="36" t="s">
        <v>56</v>
      </c>
      <c r="I51" s="48" t="s">
        <v>106</v>
      </c>
      <c r="J51" s="48" t="s">
        <v>107</v>
      </c>
      <c r="O51"/>
    </row>
    <row r="52" spans="1:15" x14ac:dyDescent="0.25">
      <c r="A52">
        <v>752</v>
      </c>
      <c r="B52">
        <v>12033</v>
      </c>
      <c r="C52" s="2">
        <v>53081.07</v>
      </c>
      <c r="D52" s="2">
        <v>51145.75</v>
      </c>
      <c r="E52" s="2">
        <v>51145.75</v>
      </c>
      <c r="F52" s="1">
        <v>44910</v>
      </c>
      <c r="G52">
        <v>51</v>
      </c>
      <c r="H52" s="36" t="s">
        <v>56</v>
      </c>
      <c r="I52" s="48"/>
      <c r="J52" s="48"/>
      <c r="O52"/>
    </row>
    <row r="53" spans="1:15" x14ac:dyDescent="0.25">
      <c r="A53">
        <v>753</v>
      </c>
      <c r="B53">
        <v>12033</v>
      </c>
      <c r="C53" s="2">
        <v>50293.32</v>
      </c>
      <c r="D53" s="2">
        <v>51145.75</v>
      </c>
      <c r="E53" s="2">
        <v>51145.75</v>
      </c>
      <c r="F53" s="1">
        <v>44910</v>
      </c>
      <c r="G53">
        <v>51</v>
      </c>
      <c r="H53" s="36" t="s">
        <v>56</v>
      </c>
      <c r="I53" s="48"/>
      <c r="J53" s="48"/>
      <c r="O53"/>
    </row>
    <row r="54" spans="1:15" x14ac:dyDescent="0.25">
      <c r="A54">
        <v>754</v>
      </c>
      <c r="B54">
        <v>12033</v>
      </c>
      <c r="C54" s="2">
        <v>50293.32</v>
      </c>
      <c r="D54" s="2">
        <v>51145.75</v>
      </c>
      <c r="E54" s="2">
        <v>51145.75</v>
      </c>
      <c r="F54" s="1">
        <v>44910</v>
      </c>
      <c r="G54">
        <v>51</v>
      </c>
      <c r="H54" s="36" t="s">
        <v>56</v>
      </c>
      <c r="I54" s="48"/>
      <c r="J54" s="48"/>
      <c r="O54"/>
    </row>
    <row r="55" spans="1:15" x14ac:dyDescent="0.25">
      <c r="A55">
        <v>367</v>
      </c>
      <c r="B55">
        <v>12023</v>
      </c>
      <c r="C55" s="2">
        <v>152860.99</v>
      </c>
      <c r="D55" s="2">
        <v>13896453.720000001</v>
      </c>
      <c r="E55" s="2">
        <v>4162190.1</v>
      </c>
      <c r="F55" s="1">
        <v>44907</v>
      </c>
      <c r="G55">
        <v>51</v>
      </c>
      <c r="H55" s="36" t="s">
        <v>64</v>
      </c>
      <c r="I55" s="48" t="s">
        <v>117</v>
      </c>
      <c r="J55" s="48" t="s">
        <v>115</v>
      </c>
      <c r="O55"/>
    </row>
    <row r="56" spans="1:15" x14ac:dyDescent="0.25">
      <c r="A56">
        <v>367</v>
      </c>
      <c r="B56">
        <v>12024</v>
      </c>
      <c r="C56" s="2">
        <v>152860.99</v>
      </c>
      <c r="D56" s="2">
        <v>13896453.720000001</v>
      </c>
      <c r="E56" s="2">
        <v>4162190.1</v>
      </c>
      <c r="F56" s="1">
        <v>44907</v>
      </c>
      <c r="G56">
        <v>51</v>
      </c>
      <c r="H56" s="36" t="s">
        <v>64</v>
      </c>
      <c r="I56" s="48" t="s">
        <v>117</v>
      </c>
      <c r="J56" s="48" t="s">
        <v>115</v>
      </c>
      <c r="O56"/>
    </row>
    <row r="57" spans="1:15" x14ac:dyDescent="0.25">
      <c r="A57">
        <v>368</v>
      </c>
      <c r="B57">
        <v>12023</v>
      </c>
      <c r="C57" s="2">
        <v>71212.740000000005</v>
      </c>
      <c r="D57" s="2">
        <v>712127.43</v>
      </c>
      <c r="E57" s="2">
        <v>0</v>
      </c>
      <c r="F57" s="1">
        <v>44907</v>
      </c>
      <c r="G57">
        <v>51</v>
      </c>
      <c r="H57" s="36" t="s">
        <v>64</v>
      </c>
      <c r="I57" s="48" t="s">
        <v>117</v>
      </c>
      <c r="J57" s="48" t="s">
        <v>115</v>
      </c>
      <c r="O57"/>
    </row>
    <row r="58" spans="1:15" x14ac:dyDescent="0.25">
      <c r="A58">
        <v>368</v>
      </c>
      <c r="B58">
        <v>12024</v>
      </c>
      <c r="C58" s="2">
        <v>71212.740000000005</v>
      </c>
      <c r="D58" s="2">
        <v>712127.43</v>
      </c>
      <c r="E58" s="2">
        <v>0</v>
      </c>
      <c r="F58" s="1">
        <v>44907</v>
      </c>
      <c r="G58">
        <v>51</v>
      </c>
      <c r="H58" s="36" t="s">
        <v>64</v>
      </c>
      <c r="I58" s="48" t="s">
        <v>117</v>
      </c>
      <c r="J58" s="48" t="s">
        <v>115</v>
      </c>
      <c r="O58"/>
    </row>
    <row r="59" spans="1:15" x14ac:dyDescent="0.25">
      <c r="A59">
        <v>392</v>
      </c>
      <c r="B59">
        <v>12021</v>
      </c>
      <c r="C59" s="2">
        <v>237467</v>
      </c>
      <c r="D59" s="2">
        <v>19885000</v>
      </c>
      <c r="E59" s="2">
        <v>17985264</v>
      </c>
      <c r="F59" s="1">
        <v>44907</v>
      </c>
      <c r="G59">
        <v>51</v>
      </c>
      <c r="H59" s="36" t="s">
        <v>119</v>
      </c>
      <c r="I59" s="48" t="s">
        <v>113</v>
      </c>
      <c r="J59" s="48" t="s">
        <v>120</v>
      </c>
      <c r="O59"/>
    </row>
    <row r="60" spans="1:15" x14ac:dyDescent="0.25">
      <c r="A60">
        <v>388</v>
      </c>
      <c r="B60">
        <v>12009</v>
      </c>
      <c r="C60" s="2">
        <v>-385138.5</v>
      </c>
      <c r="D60" s="2">
        <v>1639531.4</v>
      </c>
      <c r="E60" s="2">
        <v>2024669.9</v>
      </c>
      <c r="F60" s="1">
        <v>44902</v>
      </c>
      <c r="G60">
        <v>50</v>
      </c>
      <c r="H60" s="36" t="s">
        <v>59</v>
      </c>
      <c r="I60" s="48" t="s">
        <v>106</v>
      </c>
      <c r="J60" s="48" t="s">
        <v>107</v>
      </c>
      <c r="O60"/>
    </row>
    <row r="61" spans="1:15" x14ac:dyDescent="0.25">
      <c r="A61">
        <v>678</v>
      </c>
      <c r="B61">
        <v>12005</v>
      </c>
      <c r="C61" s="2">
        <v>86699.930000000008</v>
      </c>
      <c r="D61" s="2">
        <v>88169.21</v>
      </c>
      <c r="E61" s="2">
        <v>1469.28</v>
      </c>
      <c r="F61" s="1">
        <v>44902</v>
      </c>
      <c r="G61">
        <v>50</v>
      </c>
      <c r="H61" s="36" t="s">
        <v>56</v>
      </c>
      <c r="I61" s="48" t="s">
        <v>106</v>
      </c>
      <c r="J61" s="48" t="s">
        <v>107</v>
      </c>
      <c r="O61"/>
    </row>
    <row r="62" spans="1:15" x14ac:dyDescent="0.25">
      <c r="A62">
        <v>392</v>
      </c>
      <c r="B62">
        <v>12004</v>
      </c>
      <c r="C62" s="2">
        <v>237467</v>
      </c>
      <c r="D62" s="2">
        <v>19885000</v>
      </c>
      <c r="E62" s="2">
        <v>17985264</v>
      </c>
      <c r="F62" s="1">
        <v>44901</v>
      </c>
      <c r="G62">
        <v>50</v>
      </c>
      <c r="H62" s="36" t="s">
        <v>119</v>
      </c>
      <c r="I62" s="48" t="s">
        <v>113</v>
      </c>
      <c r="J62" s="48" t="s">
        <v>120</v>
      </c>
      <c r="O62"/>
    </row>
    <row r="63" spans="1:15" x14ac:dyDescent="0.25">
      <c r="A63">
        <v>561</v>
      </c>
      <c r="B63">
        <v>12002</v>
      </c>
      <c r="C63" s="2">
        <v>67150.92</v>
      </c>
      <c r="D63" s="2">
        <v>68289.070000000007</v>
      </c>
      <c r="E63" s="2">
        <v>1138.1500000000001</v>
      </c>
      <c r="F63" s="1">
        <v>44900</v>
      </c>
      <c r="G63">
        <v>50</v>
      </c>
      <c r="H63" s="36" t="s">
        <v>56</v>
      </c>
      <c r="I63" s="48" t="s">
        <v>106</v>
      </c>
      <c r="J63" s="48" t="s">
        <v>107</v>
      </c>
      <c r="O63"/>
    </row>
    <row r="64" spans="1:15" x14ac:dyDescent="0.25">
      <c r="A64">
        <v>388</v>
      </c>
      <c r="B64">
        <v>11989</v>
      </c>
      <c r="C64" s="2">
        <v>-366798.57</v>
      </c>
      <c r="D64" s="2">
        <v>1639531.4</v>
      </c>
      <c r="E64" s="2">
        <v>2024669.9</v>
      </c>
      <c r="F64" s="1">
        <v>44897</v>
      </c>
      <c r="G64">
        <v>49</v>
      </c>
      <c r="H64" s="36" t="s">
        <v>59</v>
      </c>
      <c r="I64" s="48" t="s">
        <v>106</v>
      </c>
      <c r="J64" s="48" t="s">
        <v>107</v>
      </c>
      <c r="O64"/>
    </row>
    <row r="65" spans="1:15" x14ac:dyDescent="0.25">
      <c r="A65">
        <v>392</v>
      </c>
      <c r="B65">
        <v>11983</v>
      </c>
      <c r="C65" s="2">
        <v>237467</v>
      </c>
      <c r="D65" s="2">
        <v>19885000</v>
      </c>
      <c r="E65" s="2">
        <v>17985264</v>
      </c>
      <c r="F65" s="1">
        <v>44897</v>
      </c>
      <c r="G65">
        <v>49</v>
      </c>
      <c r="H65" s="36" t="s">
        <v>119</v>
      </c>
      <c r="I65" s="48" t="s">
        <v>113</v>
      </c>
      <c r="J65" s="48" t="s">
        <v>120</v>
      </c>
      <c r="O65"/>
    </row>
    <row r="66" spans="1:15" x14ac:dyDescent="0.25">
      <c r="A66">
        <v>670</v>
      </c>
      <c r="B66">
        <v>11978</v>
      </c>
      <c r="C66" s="2">
        <v>82605.27</v>
      </c>
      <c r="D66" s="2">
        <v>84005.36</v>
      </c>
      <c r="E66" s="2">
        <v>1400.09</v>
      </c>
      <c r="F66" s="1">
        <v>44895</v>
      </c>
      <c r="G66">
        <v>49</v>
      </c>
      <c r="H66" s="36" t="s">
        <v>56</v>
      </c>
      <c r="I66" s="48" t="s">
        <v>106</v>
      </c>
      <c r="J66" s="48" t="s">
        <v>107</v>
      </c>
      <c r="O66"/>
    </row>
    <row r="67" spans="1:15" x14ac:dyDescent="0.25">
      <c r="A67">
        <v>676</v>
      </c>
      <c r="B67">
        <v>11977</v>
      </c>
      <c r="C67" s="2">
        <v>86699.73000000001</v>
      </c>
      <c r="D67" s="2">
        <v>264507.64</v>
      </c>
      <c r="E67" s="2">
        <v>177807.91</v>
      </c>
      <c r="F67" s="1">
        <v>44895</v>
      </c>
      <c r="G67">
        <v>49</v>
      </c>
      <c r="H67" s="36" t="s">
        <v>56</v>
      </c>
      <c r="I67" s="48" t="s">
        <v>106</v>
      </c>
      <c r="J67" s="48" t="s">
        <v>107</v>
      </c>
      <c r="O67"/>
    </row>
    <row r="68" spans="1:15" x14ac:dyDescent="0.25">
      <c r="A68">
        <v>680</v>
      </c>
      <c r="B68">
        <v>11974</v>
      </c>
      <c r="C68" s="2">
        <v>86699.73000000001</v>
      </c>
      <c r="D68" s="2">
        <v>88169.21</v>
      </c>
      <c r="E68" s="2">
        <v>1469.48</v>
      </c>
      <c r="F68" s="1">
        <v>44895</v>
      </c>
      <c r="G68">
        <v>49</v>
      </c>
      <c r="H68" s="36" t="s">
        <v>56</v>
      </c>
      <c r="I68" s="48" t="s">
        <v>106</v>
      </c>
      <c r="J68" s="48" t="s">
        <v>107</v>
      </c>
      <c r="O68"/>
    </row>
    <row r="69" spans="1:15" x14ac:dyDescent="0.25">
      <c r="A69">
        <v>682</v>
      </c>
      <c r="B69">
        <v>11974</v>
      </c>
      <c r="C69" s="2">
        <v>173399.45</v>
      </c>
      <c r="D69" s="2">
        <v>176338.43</v>
      </c>
      <c r="E69" s="2">
        <v>2938.98</v>
      </c>
      <c r="F69" s="1">
        <v>44895</v>
      </c>
      <c r="G69">
        <v>49</v>
      </c>
      <c r="H69" s="36" t="s">
        <v>56</v>
      </c>
      <c r="I69" s="48" t="s">
        <v>106</v>
      </c>
      <c r="J69" s="48" t="s">
        <v>107</v>
      </c>
      <c r="O69"/>
    </row>
    <row r="70" spans="1:15" x14ac:dyDescent="0.25">
      <c r="A70">
        <v>683</v>
      </c>
      <c r="B70">
        <v>11974</v>
      </c>
      <c r="C70" s="2">
        <v>173399.45</v>
      </c>
      <c r="D70" s="2">
        <v>88169.21</v>
      </c>
      <c r="E70" s="2">
        <v>0</v>
      </c>
      <c r="F70" s="1">
        <v>44895</v>
      </c>
      <c r="G70">
        <v>49</v>
      </c>
      <c r="H70" s="36" t="s">
        <v>56</v>
      </c>
      <c r="I70" s="48" t="s">
        <v>106</v>
      </c>
      <c r="J70" s="48" t="s">
        <v>107</v>
      </c>
      <c r="O70"/>
    </row>
    <row r="71" spans="1:15" x14ac:dyDescent="0.25">
      <c r="A71">
        <v>750</v>
      </c>
      <c r="B71">
        <v>11976</v>
      </c>
      <c r="C71" s="2">
        <v>71140.88</v>
      </c>
      <c r="D71" s="2">
        <v>51145.75</v>
      </c>
      <c r="E71" s="2">
        <v>0</v>
      </c>
      <c r="F71" s="1">
        <v>44895</v>
      </c>
      <c r="G71">
        <v>49</v>
      </c>
      <c r="H71" s="36" t="s">
        <v>56</v>
      </c>
      <c r="I71" s="48" t="s">
        <v>106</v>
      </c>
      <c r="J71" s="48" t="s">
        <v>107</v>
      </c>
      <c r="O71"/>
    </row>
    <row r="72" spans="1:15" x14ac:dyDescent="0.25">
      <c r="A72">
        <v>560</v>
      </c>
      <c r="B72">
        <v>11969</v>
      </c>
      <c r="C72" s="2">
        <v>-68289.069999999992</v>
      </c>
      <c r="D72" s="2">
        <v>68289.070000000007</v>
      </c>
      <c r="E72" s="2">
        <v>68289.070000000007</v>
      </c>
      <c r="F72" s="1">
        <v>44893</v>
      </c>
      <c r="G72">
        <v>49</v>
      </c>
      <c r="H72" s="36" t="s">
        <v>56</v>
      </c>
      <c r="I72" s="48" t="s">
        <v>106</v>
      </c>
      <c r="J72" s="48" t="s">
        <v>107</v>
      </c>
      <c r="O72"/>
    </row>
    <row r="73" spans="1:15" x14ac:dyDescent="0.25">
      <c r="A73">
        <v>726</v>
      </c>
      <c r="B73">
        <v>11967</v>
      </c>
      <c r="C73" s="2">
        <v>-26204.78</v>
      </c>
      <c r="D73" s="2">
        <v>23726.78</v>
      </c>
      <c r="E73" s="2">
        <v>23726.78</v>
      </c>
      <c r="F73" s="1">
        <v>44893</v>
      </c>
      <c r="G73">
        <v>49</v>
      </c>
      <c r="H73" s="36" t="s">
        <v>56</v>
      </c>
      <c r="I73" s="48" t="s">
        <v>106</v>
      </c>
      <c r="J73" s="48" t="s">
        <v>107</v>
      </c>
      <c r="O73"/>
    </row>
    <row r="74" spans="1:15" x14ac:dyDescent="0.25">
      <c r="A74">
        <v>728</v>
      </c>
      <c r="B74">
        <v>11967</v>
      </c>
      <c r="C74" s="2">
        <v>-26204.78</v>
      </c>
      <c r="D74" s="2">
        <v>23726.78</v>
      </c>
      <c r="E74" s="2">
        <v>23726.78</v>
      </c>
      <c r="F74" s="1">
        <v>44893</v>
      </c>
      <c r="G74">
        <v>49</v>
      </c>
      <c r="H74" s="36" t="s">
        <v>56</v>
      </c>
      <c r="I74" s="48" t="s">
        <v>106</v>
      </c>
      <c r="J74" s="48" t="s">
        <v>107</v>
      </c>
      <c r="O74"/>
    </row>
    <row r="75" spans="1:15" x14ac:dyDescent="0.25">
      <c r="A75">
        <v>729</v>
      </c>
      <c r="B75">
        <v>11967</v>
      </c>
      <c r="C75" s="2">
        <v>-26204.78</v>
      </c>
      <c r="D75" s="2">
        <v>23726.78</v>
      </c>
      <c r="E75" s="2">
        <v>23726.78</v>
      </c>
      <c r="F75" s="1">
        <v>44893</v>
      </c>
      <c r="G75">
        <v>49</v>
      </c>
      <c r="H75" s="36" t="s">
        <v>56</v>
      </c>
      <c r="I75" s="48" t="s">
        <v>106</v>
      </c>
      <c r="J75" s="48" t="s">
        <v>107</v>
      </c>
      <c r="O75"/>
    </row>
    <row r="76" spans="1:15" x14ac:dyDescent="0.25">
      <c r="A76">
        <v>730</v>
      </c>
      <c r="B76">
        <v>11967</v>
      </c>
      <c r="C76" s="2">
        <v>-26204.78</v>
      </c>
      <c r="D76" s="2">
        <v>23726.78</v>
      </c>
      <c r="E76" s="2">
        <v>23726.78</v>
      </c>
      <c r="F76" s="1">
        <v>44893</v>
      </c>
      <c r="G76">
        <v>49</v>
      </c>
      <c r="H76" s="36" t="s">
        <v>56</v>
      </c>
      <c r="I76" s="48" t="s">
        <v>106</v>
      </c>
      <c r="J76" s="48" t="s">
        <v>107</v>
      </c>
      <c r="O76"/>
    </row>
    <row r="77" spans="1:15" x14ac:dyDescent="0.25">
      <c r="A77">
        <v>735</v>
      </c>
      <c r="B77">
        <v>11967</v>
      </c>
      <c r="C77" s="2">
        <v>-26204.78</v>
      </c>
      <c r="D77" s="2">
        <v>23726.78</v>
      </c>
      <c r="E77" s="2">
        <v>23726.78</v>
      </c>
      <c r="F77" s="1">
        <v>44893</v>
      </c>
      <c r="G77">
        <v>49</v>
      </c>
      <c r="H77" s="36" t="s">
        <v>56</v>
      </c>
      <c r="I77" s="48" t="s">
        <v>106</v>
      </c>
      <c r="J77" s="48" t="s">
        <v>107</v>
      </c>
      <c r="O77"/>
    </row>
    <row r="78" spans="1:15" x14ac:dyDescent="0.25">
      <c r="A78">
        <v>736</v>
      </c>
      <c r="B78">
        <v>11967</v>
      </c>
      <c r="C78" s="2">
        <v>-26204.78</v>
      </c>
      <c r="D78" s="2">
        <v>23726.78</v>
      </c>
      <c r="E78" s="2">
        <v>23726.78</v>
      </c>
      <c r="F78" s="1">
        <v>44893</v>
      </c>
      <c r="G78">
        <v>49</v>
      </c>
      <c r="H78" s="36" t="s">
        <v>56</v>
      </c>
      <c r="I78" s="48" t="s">
        <v>106</v>
      </c>
      <c r="J78" s="48" t="s">
        <v>107</v>
      </c>
      <c r="O78"/>
    </row>
    <row r="79" spans="1:15" x14ac:dyDescent="0.25">
      <c r="A79">
        <v>738</v>
      </c>
      <c r="B79">
        <v>11968</v>
      </c>
      <c r="C79" s="2">
        <v>-26204.78</v>
      </c>
      <c r="D79" s="2">
        <v>23726.78</v>
      </c>
      <c r="E79" s="2">
        <v>23726.78</v>
      </c>
      <c r="F79" s="1">
        <v>44893</v>
      </c>
      <c r="G79">
        <v>49</v>
      </c>
      <c r="H79" s="36" t="s">
        <v>56</v>
      </c>
      <c r="I79" s="48" t="s">
        <v>106</v>
      </c>
      <c r="J79" s="48" t="s">
        <v>107</v>
      </c>
      <c r="O79"/>
    </row>
    <row r="80" spans="1:15" x14ac:dyDescent="0.25">
      <c r="A80">
        <v>739</v>
      </c>
      <c r="B80">
        <v>11968</v>
      </c>
      <c r="C80" s="2">
        <v>-53081.07</v>
      </c>
      <c r="D80" s="2">
        <v>50293.32</v>
      </c>
      <c r="E80" s="2">
        <v>50293.32</v>
      </c>
      <c r="F80" s="1">
        <v>44893</v>
      </c>
      <c r="G80">
        <v>49</v>
      </c>
      <c r="H80" s="36" t="s">
        <v>56</v>
      </c>
      <c r="I80" s="48" t="s">
        <v>106</v>
      </c>
      <c r="J80" s="48" t="s">
        <v>107</v>
      </c>
      <c r="O80"/>
    </row>
    <row r="81" spans="1:15" x14ac:dyDescent="0.25">
      <c r="A81">
        <v>740</v>
      </c>
      <c r="B81">
        <v>11968</v>
      </c>
      <c r="C81" s="2">
        <v>-23726.78</v>
      </c>
      <c r="D81" s="2">
        <v>23726.78</v>
      </c>
      <c r="E81" s="2">
        <v>23726.78</v>
      </c>
      <c r="F81" s="1">
        <v>44893</v>
      </c>
      <c r="G81">
        <v>49</v>
      </c>
      <c r="H81" s="36" t="s">
        <v>56</v>
      </c>
      <c r="I81" s="48" t="s">
        <v>106</v>
      </c>
      <c r="J81" s="48" t="s">
        <v>107</v>
      </c>
      <c r="O81"/>
    </row>
    <row r="82" spans="1:15" x14ac:dyDescent="0.25">
      <c r="A82">
        <v>560</v>
      </c>
      <c r="B82">
        <v>11964</v>
      </c>
      <c r="C82" s="2">
        <v>68289.069999999992</v>
      </c>
      <c r="D82" s="2">
        <v>68289.070000000007</v>
      </c>
      <c r="E82" s="2">
        <v>68289.070000000007</v>
      </c>
      <c r="F82" s="1">
        <v>44890</v>
      </c>
      <c r="G82">
        <v>48</v>
      </c>
      <c r="H82" s="36" t="s">
        <v>56</v>
      </c>
      <c r="I82" s="48" t="s">
        <v>106</v>
      </c>
      <c r="J82" s="48" t="s">
        <v>107</v>
      </c>
      <c r="O82"/>
    </row>
    <row r="83" spans="1:15" x14ac:dyDescent="0.25">
      <c r="A83">
        <v>726</v>
      </c>
      <c r="B83">
        <v>11961</v>
      </c>
      <c r="C83" s="2">
        <v>26204.78</v>
      </c>
      <c r="D83" s="2">
        <v>23726.78</v>
      </c>
      <c r="E83" s="2">
        <v>23726.78</v>
      </c>
      <c r="F83" s="1">
        <v>44889</v>
      </c>
      <c r="G83">
        <v>48</v>
      </c>
      <c r="H83" s="36" t="s">
        <v>56</v>
      </c>
      <c r="I83" s="48" t="s">
        <v>106</v>
      </c>
      <c r="J83" s="48" t="s">
        <v>107</v>
      </c>
      <c r="O83"/>
    </row>
    <row r="84" spans="1:15" x14ac:dyDescent="0.25">
      <c r="A84">
        <v>728</v>
      </c>
      <c r="B84">
        <v>11961</v>
      </c>
      <c r="C84" s="2">
        <v>26204.78</v>
      </c>
      <c r="D84" s="2">
        <v>23726.78</v>
      </c>
      <c r="E84" s="2">
        <v>23726.78</v>
      </c>
      <c r="F84" s="1">
        <v>44889</v>
      </c>
      <c r="G84">
        <v>48</v>
      </c>
      <c r="H84" s="36" t="s">
        <v>56</v>
      </c>
      <c r="I84" s="48" t="s">
        <v>106</v>
      </c>
      <c r="J84" s="48" t="s">
        <v>107</v>
      </c>
      <c r="O84"/>
    </row>
    <row r="85" spans="1:15" x14ac:dyDescent="0.25">
      <c r="A85">
        <v>729</v>
      </c>
      <c r="B85">
        <v>11961</v>
      </c>
      <c r="C85" s="2">
        <v>26204.78</v>
      </c>
      <c r="D85" s="2">
        <v>23726.78</v>
      </c>
      <c r="E85" s="2">
        <v>23726.78</v>
      </c>
      <c r="F85" s="1">
        <v>44889</v>
      </c>
      <c r="G85">
        <v>48</v>
      </c>
      <c r="H85" s="36" t="s">
        <v>56</v>
      </c>
      <c r="I85" s="48" t="s">
        <v>106</v>
      </c>
      <c r="J85" s="48" t="s">
        <v>107</v>
      </c>
      <c r="O85"/>
    </row>
    <row r="86" spans="1:15" x14ac:dyDescent="0.25">
      <c r="A86">
        <v>730</v>
      </c>
      <c r="B86">
        <v>11961</v>
      </c>
      <c r="C86" s="2">
        <v>26204.78</v>
      </c>
      <c r="D86" s="2">
        <v>23726.78</v>
      </c>
      <c r="E86" s="2">
        <v>23726.78</v>
      </c>
      <c r="F86" s="1">
        <v>44889</v>
      </c>
      <c r="G86">
        <v>48</v>
      </c>
      <c r="H86" s="36" t="s">
        <v>56</v>
      </c>
      <c r="I86" s="48" t="s">
        <v>106</v>
      </c>
      <c r="J86" s="48" t="s">
        <v>107</v>
      </c>
      <c r="O86"/>
    </row>
    <row r="87" spans="1:15" x14ac:dyDescent="0.25">
      <c r="A87">
        <v>735</v>
      </c>
      <c r="B87">
        <v>11961</v>
      </c>
      <c r="C87" s="2">
        <v>26204.78</v>
      </c>
      <c r="D87" s="2">
        <v>23726.78</v>
      </c>
      <c r="E87" s="2">
        <v>23726.78</v>
      </c>
      <c r="F87" s="1">
        <v>44889</v>
      </c>
      <c r="G87">
        <v>48</v>
      </c>
      <c r="H87" s="36" t="s">
        <v>56</v>
      </c>
      <c r="I87" s="48" t="s">
        <v>106</v>
      </c>
      <c r="J87" s="48" t="s">
        <v>107</v>
      </c>
      <c r="O87"/>
    </row>
    <row r="88" spans="1:15" x14ac:dyDescent="0.25">
      <c r="A88">
        <v>736</v>
      </c>
      <c r="B88">
        <v>11961</v>
      </c>
      <c r="C88" s="2">
        <v>26204.78</v>
      </c>
      <c r="D88" s="2">
        <v>23726.78</v>
      </c>
      <c r="E88" s="2">
        <v>23726.78</v>
      </c>
      <c r="F88" s="1">
        <v>44889</v>
      </c>
      <c r="G88">
        <v>48</v>
      </c>
      <c r="H88" s="36" t="s">
        <v>56</v>
      </c>
      <c r="I88" s="48" t="s">
        <v>106</v>
      </c>
      <c r="J88" s="48" t="s">
        <v>107</v>
      </c>
      <c r="O88"/>
    </row>
    <row r="89" spans="1:15" x14ac:dyDescent="0.25">
      <c r="A89">
        <v>738</v>
      </c>
      <c r="B89">
        <v>11963</v>
      </c>
      <c r="C89" s="2">
        <v>26204.78</v>
      </c>
      <c r="D89" s="2">
        <v>23726.78</v>
      </c>
      <c r="E89" s="2">
        <v>23726.78</v>
      </c>
      <c r="F89" s="1">
        <v>44889</v>
      </c>
      <c r="G89">
        <v>48</v>
      </c>
      <c r="H89" s="36" t="s">
        <v>56</v>
      </c>
      <c r="I89" s="48" t="s">
        <v>106</v>
      </c>
      <c r="J89" s="48" t="s">
        <v>107</v>
      </c>
      <c r="O89"/>
    </row>
    <row r="90" spans="1:15" x14ac:dyDescent="0.25">
      <c r="A90">
        <v>739</v>
      </c>
      <c r="B90">
        <v>11963</v>
      </c>
      <c r="C90" s="2">
        <v>53081.07</v>
      </c>
      <c r="D90" s="2">
        <v>50293.32</v>
      </c>
      <c r="E90" s="2">
        <v>50293.32</v>
      </c>
      <c r="F90" s="1">
        <v>44889</v>
      </c>
      <c r="G90">
        <v>48</v>
      </c>
      <c r="H90" s="36" t="s">
        <v>56</v>
      </c>
      <c r="I90" s="48" t="s">
        <v>106</v>
      </c>
      <c r="J90" s="48" t="s">
        <v>107</v>
      </c>
      <c r="O90"/>
    </row>
    <row r="91" spans="1:15" x14ac:dyDescent="0.25">
      <c r="A91">
        <v>740</v>
      </c>
      <c r="B91">
        <v>11963</v>
      </c>
      <c r="C91" s="2">
        <v>23726.78</v>
      </c>
      <c r="D91" s="2">
        <v>23726.78</v>
      </c>
      <c r="E91" s="2">
        <v>23726.78</v>
      </c>
      <c r="F91" s="1">
        <v>44889</v>
      </c>
      <c r="G91">
        <v>48</v>
      </c>
      <c r="H91" s="36" t="s">
        <v>56</v>
      </c>
      <c r="I91" s="48" t="s">
        <v>106</v>
      </c>
      <c r="J91" s="48" t="s">
        <v>107</v>
      </c>
      <c r="O91"/>
    </row>
    <row r="92" spans="1:15" x14ac:dyDescent="0.25">
      <c r="A92">
        <v>257</v>
      </c>
      <c r="B92">
        <v>11957</v>
      </c>
      <c r="C92" s="2">
        <v>-4494</v>
      </c>
      <c r="D92" s="2">
        <v>4494</v>
      </c>
      <c r="E92" s="2">
        <v>4494</v>
      </c>
      <c r="F92" s="1">
        <v>44888</v>
      </c>
      <c r="G92">
        <v>48</v>
      </c>
      <c r="H92" s="36" t="s">
        <v>111</v>
      </c>
      <c r="I92" s="48" t="s">
        <v>106</v>
      </c>
      <c r="J92" s="48" t="s">
        <v>107</v>
      </c>
      <c r="O92"/>
    </row>
    <row r="93" spans="1:15" x14ac:dyDescent="0.25">
      <c r="A93">
        <v>608</v>
      </c>
      <c r="B93">
        <v>344</v>
      </c>
      <c r="C93" s="2">
        <v>226689</v>
      </c>
      <c r="D93" s="2">
        <v>3318540</v>
      </c>
      <c r="E93" s="2">
        <v>0</v>
      </c>
      <c r="F93" s="1">
        <v>44888</v>
      </c>
      <c r="G93">
        <v>48</v>
      </c>
      <c r="H93" s="36" t="s">
        <v>61</v>
      </c>
      <c r="I93" s="48" t="s">
        <v>120</v>
      </c>
      <c r="J93" s="48" t="s">
        <v>120</v>
      </c>
      <c r="O93"/>
    </row>
    <row r="94" spans="1:15" x14ac:dyDescent="0.25">
      <c r="A94">
        <v>692</v>
      </c>
      <c r="B94">
        <v>11955</v>
      </c>
      <c r="C94" s="2">
        <v>-7676.3</v>
      </c>
      <c r="D94" s="2">
        <v>7676.3</v>
      </c>
      <c r="E94" s="2">
        <v>7676.3</v>
      </c>
      <c r="F94" s="1">
        <v>44888</v>
      </c>
      <c r="G94">
        <v>48</v>
      </c>
      <c r="H94" s="36" t="s">
        <v>111</v>
      </c>
      <c r="I94" s="48" t="s">
        <v>120</v>
      </c>
      <c r="J94" s="48" t="s">
        <v>120</v>
      </c>
      <c r="O94"/>
    </row>
    <row r="95" spans="1:15" x14ac:dyDescent="0.25">
      <c r="A95">
        <v>363</v>
      </c>
      <c r="B95">
        <v>11950</v>
      </c>
      <c r="C95" s="2">
        <v>1047852.5</v>
      </c>
      <c r="D95" s="2">
        <v>7505280</v>
      </c>
      <c r="E95" s="2">
        <v>0</v>
      </c>
      <c r="F95" s="1">
        <v>44887</v>
      </c>
      <c r="G95">
        <v>48</v>
      </c>
      <c r="H95" s="36" t="s">
        <v>98</v>
      </c>
      <c r="I95" s="48" t="s">
        <v>114</v>
      </c>
      <c r="J95" s="48" t="s">
        <v>115</v>
      </c>
      <c r="O95"/>
    </row>
    <row r="96" spans="1:15" x14ac:dyDescent="0.25">
      <c r="A96">
        <v>388</v>
      </c>
      <c r="B96">
        <v>11949</v>
      </c>
      <c r="C96" s="2">
        <v>366798.57</v>
      </c>
      <c r="D96" s="2">
        <v>1639531.4</v>
      </c>
      <c r="E96" s="2">
        <v>2024669.9</v>
      </c>
      <c r="F96" s="1">
        <v>44887</v>
      </c>
      <c r="G96">
        <v>48</v>
      </c>
      <c r="H96" s="36" t="s">
        <v>59</v>
      </c>
      <c r="I96" s="48" t="s">
        <v>106</v>
      </c>
      <c r="J96" s="48" t="s">
        <v>107</v>
      </c>
      <c r="O96"/>
    </row>
    <row r="97" spans="1:15" x14ac:dyDescent="0.25">
      <c r="A97">
        <v>257</v>
      </c>
      <c r="B97">
        <v>11944</v>
      </c>
      <c r="C97" s="2">
        <v>4494</v>
      </c>
      <c r="D97" s="2">
        <v>4494</v>
      </c>
      <c r="E97" s="2">
        <v>4494</v>
      </c>
      <c r="F97" s="1">
        <v>44886</v>
      </c>
      <c r="G97">
        <v>48</v>
      </c>
      <c r="H97" s="36" t="s">
        <v>111</v>
      </c>
      <c r="I97" s="48" t="s">
        <v>106</v>
      </c>
      <c r="J97" s="48" t="s">
        <v>107</v>
      </c>
      <c r="O97"/>
    </row>
    <row r="98" spans="1:15" x14ac:dyDescent="0.25">
      <c r="A98">
        <v>367</v>
      </c>
      <c r="B98">
        <v>11946</v>
      </c>
      <c r="C98" s="2">
        <v>152860.99</v>
      </c>
      <c r="D98" s="2">
        <v>13896453.720000001</v>
      </c>
      <c r="E98" s="2">
        <v>4162190.1</v>
      </c>
      <c r="F98" s="1">
        <v>44886</v>
      </c>
      <c r="G98">
        <v>48</v>
      </c>
      <c r="H98" s="36" t="s">
        <v>64</v>
      </c>
      <c r="I98" s="48" t="s">
        <v>117</v>
      </c>
      <c r="J98" s="48" t="s">
        <v>115</v>
      </c>
      <c r="O98"/>
    </row>
    <row r="99" spans="1:15" x14ac:dyDescent="0.25">
      <c r="A99">
        <v>368</v>
      </c>
      <c r="B99">
        <v>11946</v>
      </c>
      <c r="C99" s="2">
        <v>71212.740000000005</v>
      </c>
      <c r="D99" s="2">
        <v>712127.43</v>
      </c>
      <c r="E99" s="2">
        <v>0</v>
      </c>
      <c r="F99" s="1">
        <v>44886</v>
      </c>
      <c r="G99">
        <v>48</v>
      </c>
      <c r="H99" s="36" t="s">
        <v>64</v>
      </c>
      <c r="I99" s="48" t="s">
        <v>117</v>
      </c>
      <c r="J99" s="48" t="s">
        <v>115</v>
      </c>
      <c r="O99"/>
    </row>
    <row r="100" spans="1:15" x14ac:dyDescent="0.25">
      <c r="A100">
        <v>692</v>
      </c>
      <c r="B100">
        <v>11945</v>
      </c>
      <c r="C100" s="2">
        <v>7676.3</v>
      </c>
      <c r="D100" s="2">
        <v>7676.3</v>
      </c>
      <c r="E100" s="2">
        <v>7676.3</v>
      </c>
      <c r="F100" s="1">
        <v>44886</v>
      </c>
      <c r="G100">
        <v>48</v>
      </c>
      <c r="H100" s="36" t="s">
        <v>111</v>
      </c>
      <c r="I100" s="48" t="s">
        <v>120</v>
      </c>
      <c r="J100" s="48" t="s">
        <v>120</v>
      </c>
      <c r="O100"/>
    </row>
    <row r="101" spans="1:15" x14ac:dyDescent="0.25">
      <c r="A101">
        <v>367</v>
      </c>
      <c r="B101">
        <v>11941</v>
      </c>
      <c r="C101" s="2">
        <v>152860.99</v>
      </c>
      <c r="D101" s="2">
        <v>13896453.720000001</v>
      </c>
      <c r="E101" s="2">
        <v>4162190.1</v>
      </c>
      <c r="F101" s="1">
        <v>44883</v>
      </c>
      <c r="G101">
        <v>47</v>
      </c>
      <c r="H101" s="36" t="s">
        <v>64</v>
      </c>
      <c r="I101" s="48" t="s">
        <v>117</v>
      </c>
      <c r="J101" s="48" t="s">
        <v>115</v>
      </c>
      <c r="O101"/>
    </row>
    <row r="102" spans="1:15" x14ac:dyDescent="0.25">
      <c r="A102">
        <v>368</v>
      </c>
      <c r="B102">
        <v>11941</v>
      </c>
      <c r="C102" s="2">
        <v>71212.740000000005</v>
      </c>
      <c r="D102" s="2">
        <v>712127.43</v>
      </c>
      <c r="E102" s="2">
        <v>0</v>
      </c>
      <c r="F102" s="1">
        <v>44883</v>
      </c>
      <c r="G102">
        <v>47</v>
      </c>
      <c r="H102" s="36" t="s">
        <v>64</v>
      </c>
      <c r="I102" s="48" t="s">
        <v>117</v>
      </c>
      <c r="J102" s="48" t="s">
        <v>115</v>
      </c>
      <c r="O102"/>
    </row>
    <row r="103" spans="1:15" x14ac:dyDescent="0.25">
      <c r="A103">
        <v>388</v>
      </c>
      <c r="B103">
        <v>11938</v>
      </c>
      <c r="C103" s="2">
        <v>-409882.85000000003</v>
      </c>
      <c r="D103" s="2">
        <v>1639531.4</v>
      </c>
      <c r="E103" s="2">
        <v>2024669.9</v>
      </c>
      <c r="F103" s="1">
        <v>44882</v>
      </c>
      <c r="G103">
        <v>47</v>
      </c>
      <c r="H103" s="36" t="s">
        <v>59</v>
      </c>
      <c r="I103" s="48" t="s">
        <v>106</v>
      </c>
      <c r="J103" s="48" t="s">
        <v>107</v>
      </c>
      <c r="O103"/>
    </row>
    <row r="104" spans="1:15" x14ac:dyDescent="0.25">
      <c r="A104">
        <v>652</v>
      </c>
      <c r="B104">
        <v>11936</v>
      </c>
      <c r="C104" s="2">
        <v>84988.010000000009</v>
      </c>
      <c r="D104" s="2">
        <v>84988.01</v>
      </c>
      <c r="E104" s="2">
        <v>0</v>
      </c>
      <c r="F104" s="1">
        <v>44881</v>
      </c>
      <c r="G104">
        <v>47</v>
      </c>
      <c r="H104" s="36" t="s">
        <v>54</v>
      </c>
      <c r="I104" s="48" t="s">
        <v>106</v>
      </c>
      <c r="J104" s="48" t="s">
        <v>107</v>
      </c>
      <c r="O104"/>
    </row>
    <row r="105" spans="1:15" x14ac:dyDescent="0.25">
      <c r="A105">
        <v>653</v>
      </c>
      <c r="B105">
        <v>11936</v>
      </c>
      <c r="C105" s="2">
        <v>84988.010000000009</v>
      </c>
      <c r="D105" s="2">
        <v>84988.01</v>
      </c>
      <c r="E105" s="2">
        <v>0</v>
      </c>
      <c r="F105" s="1">
        <v>44881</v>
      </c>
      <c r="G105">
        <v>47</v>
      </c>
      <c r="H105" s="36" t="s">
        <v>54</v>
      </c>
      <c r="I105" s="48" t="s">
        <v>106</v>
      </c>
      <c r="J105" s="48" t="s">
        <v>107</v>
      </c>
      <c r="O105"/>
    </row>
    <row r="106" spans="1:15" x14ac:dyDescent="0.25">
      <c r="A106">
        <v>654</v>
      </c>
      <c r="B106">
        <v>11936</v>
      </c>
      <c r="C106" s="2">
        <v>84988.010000000009</v>
      </c>
      <c r="D106" s="2">
        <v>84988.01</v>
      </c>
      <c r="E106" s="2">
        <v>0</v>
      </c>
      <c r="F106" s="1">
        <v>44881</v>
      </c>
      <c r="G106">
        <v>47</v>
      </c>
      <c r="H106" s="36" t="s">
        <v>54</v>
      </c>
      <c r="I106" s="48" t="s">
        <v>106</v>
      </c>
      <c r="J106" s="48" t="s">
        <v>107</v>
      </c>
      <c r="O106"/>
    </row>
    <row r="107" spans="1:15" x14ac:dyDescent="0.25">
      <c r="A107">
        <v>655</v>
      </c>
      <c r="B107">
        <v>11936</v>
      </c>
      <c r="C107" s="2">
        <v>84988.010000000009</v>
      </c>
      <c r="D107" s="2">
        <v>84988.01</v>
      </c>
      <c r="E107" s="2">
        <v>0</v>
      </c>
      <c r="F107" s="1">
        <v>44881</v>
      </c>
      <c r="G107">
        <v>47</v>
      </c>
      <c r="H107" s="36" t="s">
        <v>54</v>
      </c>
      <c r="I107" s="48" t="s">
        <v>106</v>
      </c>
      <c r="J107" s="48" t="s">
        <v>107</v>
      </c>
      <c r="O107"/>
    </row>
    <row r="108" spans="1:15" x14ac:dyDescent="0.25">
      <c r="A108">
        <v>656</v>
      </c>
      <c r="B108">
        <v>11936</v>
      </c>
      <c r="C108" s="2">
        <v>84988.010000000009</v>
      </c>
      <c r="D108" s="2">
        <v>84988.01</v>
      </c>
      <c r="E108" s="2">
        <v>0</v>
      </c>
      <c r="F108" s="1">
        <v>44881</v>
      </c>
      <c r="G108">
        <v>47</v>
      </c>
      <c r="H108" s="36" t="s">
        <v>54</v>
      </c>
      <c r="I108" s="48" t="s">
        <v>106</v>
      </c>
      <c r="J108" s="48" t="s">
        <v>107</v>
      </c>
      <c r="O108"/>
    </row>
    <row r="109" spans="1:15" x14ac:dyDescent="0.25">
      <c r="A109">
        <v>388</v>
      </c>
      <c r="B109">
        <v>11934</v>
      </c>
      <c r="C109" s="2">
        <v>-423204.04000000004</v>
      </c>
      <c r="D109" s="2">
        <v>1639531.4</v>
      </c>
      <c r="E109" s="2">
        <v>2024669.9</v>
      </c>
      <c r="F109" s="1">
        <v>44879</v>
      </c>
      <c r="G109">
        <v>47</v>
      </c>
      <c r="H109" s="36" t="s">
        <v>59</v>
      </c>
      <c r="I109" s="48" t="s">
        <v>106</v>
      </c>
      <c r="J109" s="48" t="s">
        <v>107</v>
      </c>
      <c r="O109"/>
    </row>
    <row r="110" spans="1:15" x14ac:dyDescent="0.25">
      <c r="A110">
        <v>388</v>
      </c>
      <c r="B110">
        <v>11935</v>
      </c>
      <c r="C110" s="2">
        <v>409882.85000000003</v>
      </c>
      <c r="D110" s="2">
        <v>1639531.4</v>
      </c>
      <c r="E110" s="2">
        <v>2024669.9</v>
      </c>
      <c r="F110" s="1">
        <v>44879</v>
      </c>
      <c r="G110">
        <v>47</v>
      </c>
      <c r="H110" s="36" t="s">
        <v>59</v>
      </c>
      <c r="I110" s="48" t="s">
        <v>106</v>
      </c>
      <c r="J110" s="48" t="s">
        <v>107</v>
      </c>
      <c r="O110"/>
    </row>
    <row r="111" spans="1:15" x14ac:dyDescent="0.25">
      <c r="A111">
        <v>388</v>
      </c>
      <c r="B111">
        <v>11931</v>
      </c>
      <c r="C111" s="2">
        <v>423204.04000000004</v>
      </c>
      <c r="D111" s="2">
        <v>1639531.4</v>
      </c>
      <c r="E111" s="2">
        <v>2024669.9</v>
      </c>
      <c r="F111" s="1">
        <v>44876</v>
      </c>
      <c r="G111">
        <v>46</v>
      </c>
      <c r="H111" s="36" t="s">
        <v>59</v>
      </c>
      <c r="I111" s="48" t="s">
        <v>106</v>
      </c>
      <c r="J111" s="48" t="s">
        <v>107</v>
      </c>
      <c r="O111"/>
    </row>
    <row r="112" spans="1:15" x14ac:dyDescent="0.25">
      <c r="A112">
        <v>625</v>
      </c>
      <c r="B112">
        <v>11930</v>
      </c>
      <c r="C112" s="2">
        <v>74261.13</v>
      </c>
      <c r="D112" s="2">
        <v>75519.789999999994</v>
      </c>
      <c r="E112" s="2">
        <v>1258.6600000000001</v>
      </c>
      <c r="F112" s="1">
        <v>44876</v>
      </c>
      <c r="G112">
        <v>46</v>
      </c>
      <c r="H112" s="36" t="s">
        <v>54</v>
      </c>
      <c r="I112" s="48" t="s">
        <v>106</v>
      </c>
      <c r="J112" s="48" t="s">
        <v>107</v>
      </c>
      <c r="O112"/>
    </row>
    <row r="113" spans="1:15" x14ac:dyDescent="0.25">
      <c r="A113">
        <v>626</v>
      </c>
      <c r="B113">
        <v>11930</v>
      </c>
      <c r="C113" s="2">
        <v>74261.13</v>
      </c>
      <c r="D113" s="2">
        <v>75519.789999999994</v>
      </c>
      <c r="E113" s="2">
        <v>1258.6600000000001</v>
      </c>
      <c r="F113" s="1">
        <v>44876</v>
      </c>
      <c r="G113">
        <v>46</v>
      </c>
      <c r="H113" s="36" t="s">
        <v>54</v>
      </c>
      <c r="I113" s="48" t="s">
        <v>106</v>
      </c>
      <c r="J113" s="48" t="s">
        <v>107</v>
      </c>
      <c r="O113"/>
    </row>
    <row r="114" spans="1:15" x14ac:dyDescent="0.25">
      <c r="A114">
        <v>632</v>
      </c>
      <c r="B114">
        <v>11930</v>
      </c>
      <c r="C114" s="2">
        <v>74261.13</v>
      </c>
      <c r="D114" s="2">
        <v>75519.789999999994</v>
      </c>
      <c r="E114" s="2">
        <v>1258.6600000000001</v>
      </c>
      <c r="F114" s="1">
        <v>44876</v>
      </c>
      <c r="G114">
        <v>46</v>
      </c>
      <c r="H114" s="36" t="s">
        <v>54</v>
      </c>
      <c r="I114" s="48" t="s">
        <v>106</v>
      </c>
      <c r="J114" s="48" t="s">
        <v>107</v>
      </c>
      <c r="O114"/>
    </row>
    <row r="115" spans="1:15" x14ac:dyDescent="0.25">
      <c r="A115">
        <v>633</v>
      </c>
      <c r="B115">
        <v>11930</v>
      </c>
      <c r="C115" s="2">
        <v>74261.13</v>
      </c>
      <c r="D115" s="2">
        <v>75519.789999999994</v>
      </c>
      <c r="E115" s="2">
        <v>1258.6600000000001</v>
      </c>
      <c r="F115" s="1">
        <v>44876</v>
      </c>
      <c r="G115">
        <v>46</v>
      </c>
      <c r="H115" s="36" t="s">
        <v>54</v>
      </c>
      <c r="I115" s="48" t="s">
        <v>106</v>
      </c>
      <c r="J115" s="48" t="s">
        <v>107</v>
      </c>
      <c r="O115"/>
    </row>
    <row r="116" spans="1:15" x14ac:dyDescent="0.25">
      <c r="A116">
        <v>534</v>
      </c>
      <c r="B116">
        <v>11926</v>
      </c>
      <c r="C116" s="2">
        <v>737284.3</v>
      </c>
      <c r="D116" s="2">
        <v>734699.29</v>
      </c>
      <c r="E116" s="2">
        <v>0</v>
      </c>
      <c r="F116" s="1">
        <v>44874</v>
      </c>
      <c r="G116">
        <v>46</v>
      </c>
      <c r="H116" s="36" t="s">
        <v>54</v>
      </c>
      <c r="I116" s="48" t="s">
        <v>106</v>
      </c>
      <c r="J116" s="48" t="s">
        <v>107</v>
      </c>
      <c r="O116"/>
    </row>
    <row r="117" spans="1:15" x14ac:dyDescent="0.25">
      <c r="A117">
        <v>543</v>
      </c>
      <c r="B117">
        <v>11926</v>
      </c>
      <c r="C117" s="2">
        <v>6777.66</v>
      </c>
      <c r="D117" s="2">
        <v>6777.66</v>
      </c>
      <c r="E117" s="2">
        <v>0</v>
      </c>
      <c r="F117" s="1">
        <v>44874</v>
      </c>
      <c r="G117">
        <v>46</v>
      </c>
      <c r="H117" s="36" t="s">
        <v>54</v>
      </c>
      <c r="I117" s="48" t="s">
        <v>106</v>
      </c>
      <c r="J117" s="48" t="s">
        <v>107</v>
      </c>
      <c r="O117"/>
    </row>
    <row r="118" spans="1:15" x14ac:dyDescent="0.25">
      <c r="A118">
        <v>546</v>
      </c>
      <c r="B118">
        <v>11920</v>
      </c>
      <c r="C118" s="2">
        <v>34008.559999999998</v>
      </c>
      <c r="D118" s="2">
        <v>34008.559999999998</v>
      </c>
      <c r="E118" s="2">
        <v>0</v>
      </c>
      <c r="F118" s="1">
        <v>44873</v>
      </c>
      <c r="G118">
        <v>46</v>
      </c>
      <c r="H118" s="36" t="s">
        <v>54</v>
      </c>
      <c r="I118" s="48" t="s">
        <v>106</v>
      </c>
      <c r="J118" s="48" t="s">
        <v>107</v>
      </c>
      <c r="O118"/>
    </row>
    <row r="119" spans="1:15" x14ac:dyDescent="0.25">
      <c r="A119">
        <v>731</v>
      </c>
      <c r="B119">
        <v>11922</v>
      </c>
      <c r="C119" s="2">
        <v>26204.78</v>
      </c>
      <c r="D119" s="2">
        <v>23726.78</v>
      </c>
      <c r="E119" s="2">
        <v>0</v>
      </c>
      <c r="F119" s="1">
        <v>44873</v>
      </c>
      <c r="G119">
        <v>46</v>
      </c>
      <c r="H119" s="36" t="s">
        <v>56</v>
      </c>
      <c r="I119" s="48" t="s">
        <v>106</v>
      </c>
      <c r="J119" s="48" t="s">
        <v>107</v>
      </c>
      <c r="O119"/>
    </row>
    <row r="120" spans="1:15" x14ac:dyDescent="0.25">
      <c r="A120">
        <v>732</v>
      </c>
      <c r="B120">
        <v>11922</v>
      </c>
      <c r="C120" s="2">
        <v>53081.07</v>
      </c>
      <c r="D120" s="2">
        <v>50293.32</v>
      </c>
      <c r="E120" s="2">
        <v>0</v>
      </c>
      <c r="F120" s="1">
        <v>44873</v>
      </c>
      <c r="G120">
        <v>46</v>
      </c>
      <c r="H120" s="36" t="s">
        <v>56</v>
      </c>
      <c r="I120" s="48" t="s">
        <v>106</v>
      </c>
      <c r="J120" s="48" t="s">
        <v>107</v>
      </c>
      <c r="O120"/>
    </row>
    <row r="121" spans="1:15" x14ac:dyDescent="0.25">
      <c r="A121">
        <v>733</v>
      </c>
      <c r="B121">
        <v>11922</v>
      </c>
      <c r="C121" s="2">
        <v>26204.78</v>
      </c>
      <c r="D121" s="2">
        <v>23726.78</v>
      </c>
      <c r="E121" s="2">
        <v>0</v>
      </c>
      <c r="F121" s="1">
        <v>44873</v>
      </c>
      <c r="G121">
        <v>46</v>
      </c>
      <c r="H121" s="36" t="s">
        <v>56</v>
      </c>
      <c r="I121" s="48" t="s">
        <v>106</v>
      </c>
      <c r="J121" s="48" t="s">
        <v>107</v>
      </c>
      <c r="O121"/>
    </row>
    <row r="122" spans="1:15" x14ac:dyDescent="0.25">
      <c r="A122">
        <v>734</v>
      </c>
      <c r="B122">
        <v>11922</v>
      </c>
      <c r="C122" s="2">
        <v>53081.07</v>
      </c>
      <c r="D122" s="2">
        <v>50293.32</v>
      </c>
      <c r="E122" s="2">
        <v>0</v>
      </c>
      <c r="F122" s="1">
        <v>44873</v>
      </c>
      <c r="G122">
        <v>46</v>
      </c>
      <c r="H122" s="36" t="s">
        <v>56</v>
      </c>
      <c r="I122" s="48" t="s">
        <v>106</v>
      </c>
      <c r="J122" s="48" t="s">
        <v>107</v>
      </c>
      <c r="O122"/>
    </row>
    <row r="123" spans="1:15" x14ac:dyDescent="0.25">
      <c r="A123">
        <v>367</v>
      </c>
      <c r="B123">
        <v>11912</v>
      </c>
      <c r="C123" s="2">
        <v>152860.99</v>
      </c>
      <c r="D123" s="2">
        <v>13896453.720000001</v>
      </c>
      <c r="E123" s="2">
        <v>4162190.1</v>
      </c>
      <c r="F123" s="1">
        <v>44872</v>
      </c>
      <c r="G123">
        <v>46</v>
      </c>
      <c r="H123" s="36" t="s">
        <v>64</v>
      </c>
      <c r="I123" s="48" t="s">
        <v>117</v>
      </c>
      <c r="J123" s="48" t="s">
        <v>115</v>
      </c>
      <c r="O123"/>
    </row>
    <row r="124" spans="1:15" x14ac:dyDescent="0.25">
      <c r="A124">
        <v>369</v>
      </c>
      <c r="B124">
        <v>11912</v>
      </c>
      <c r="C124" s="2">
        <v>82347.87</v>
      </c>
      <c r="D124" s="2">
        <v>4076627.31</v>
      </c>
      <c r="E124" s="2">
        <v>46881.22</v>
      </c>
      <c r="F124" s="1">
        <v>44872</v>
      </c>
      <c r="G124">
        <v>46</v>
      </c>
      <c r="H124" s="36" t="s">
        <v>64</v>
      </c>
      <c r="I124" s="48" t="s">
        <v>117</v>
      </c>
      <c r="J124" s="48" t="s">
        <v>115</v>
      </c>
      <c r="O124"/>
    </row>
    <row r="125" spans="1:15" x14ac:dyDescent="0.25">
      <c r="A125">
        <v>642</v>
      </c>
      <c r="B125">
        <v>11915</v>
      </c>
      <c r="C125" s="2">
        <v>1059562.5</v>
      </c>
      <c r="D125" s="2">
        <v>1477029.97</v>
      </c>
      <c r="E125" s="2">
        <v>0</v>
      </c>
      <c r="F125" s="1">
        <v>44872</v>
      </c>
      <c r="G125">
        <v>46</v>
      </c>
      <c r="H125" s="36" t="s">
        <v>96</v>
      </c>
      <c r="I125" s="48" t="s">
        <v>120</v>
      </c>
      <c r="J125" s="48" t="s">
        <v>120</v>
      </c>
      <c r="O125"/>
    </row>
    <row r="126" spans="1:15" x14ac:dyDescent="0.25">
      <c r="A126">
        <v>665</v>
      </c>
      <c r="B126">
        <v>11908</v>
      </c>
      <c r="C126" s="2">
        <v>-33740.71</v>
      </c>
      <c r="D126" s="2">
        <v>33740.71</v>
      </c>
      <c r="E126" s="2">
        <v>96533.87</v>
      </c>
      <c r="F126" s="1">
        <v>44872</v>
      </c>
      <c r="G126">
        <v>46</v>
      </c>
      <c r="H126" s="36" t="s">
        <v>64</v>
      </c>
      <c r="I126" s="48"/>
      <c r="J126" s="48"/>
      <c r="O126"/>
    </row>
    <row r="127" spans="1:15" x14ac:dyDescent="0.25">
      <c r="A127">
        <v>665</v>
      </c>
      <c r="B127">
        <v>11908</v>
      </c>
      <c r="C127" s="2">
        <v>-62793.16</v>
      </c>
      <c r="D127" s="2">
        <v>33740.71</v>
      </c>
      <c r="E127" s="2">
        <v>96533.87</v>
      </c>
      <c r="F127" s="1">
        <v>44872</v>
      </c>
      <c r="G127">
        <v>46</v>
      </c>
      <c r="H127" s="36" t="s">
        <v>64</v>
      </c>
      <c r="I127" s="48"/>
      <c r="J127" s="48"/>
      <c r="O127"/>
    </row>
    <row r="128" spans="1:15" x14ac:dyDescent="0.25">
      <c r="A128">
        <v>669</v>
      </c>
      <c r="B128">
        <v>11909</v>
      </c>
      <c r="C128" s="2">
        <v>-62793.16</v>
      </c>
      <c r="D128" s="2">
        <v>125586.32</v>
      </c>
      <c r="E128" s="2">
        <v>62793.16</v>
      </c>
      <c r="F128" s="1">
        <v>44872</v>
      </c>
      <c r="G128">
        <v>46</v>
      </c>
      <c r="H128" s="36" t="s">
        <v>64</v>
      </c>
      <c r="I128" s="48"/>
      <c r="J128" s="48"/>
      <c r="O128"/>
    </row>
    <row r="129" spans="1:15" x14ac:dyDescent="0.25">
      <c r="A129">
        <v>957</v>
      </c>
      <c r="B129">
        <v>11918</v>
      </c>
      <c r="C129" s="2">
        <v>44801.66</v>
      </c>
      <c r="D129" s="2">
        <v>44801.66</v>
      </c>
      <c r="E129" s="2">
        <v>0</v>
      </c>
      <c r="F129" s="1">
        <v>44872</v>
      </c>
      <c r="G129">
        <v>46</v>
      </c>
      <c r="H129" s="36" t="s">
        <v>108</v>
      </c>
      <c r="I129" s="48"/>
      <c r="J129" s="48"/>
      <c r="O129"/>
    </row>
    <row r="130" spans="1:15" x14ac:dyDescent="0.25">
      <c r="A130">
        <v>363</v>
      </c>
      <c r="B130">
        <v>11896</v>
      </c>
      <c r="C130" s="2">
        <v>1047852.5</v>
      </c>
      <c r="D130" s="2">
        <v>7505280</v>
      </c>
      <c r="E130" s="2">
        <v>0</v>
      </c>
      <c r="F130" s="1">
        <v>44865</v>
      </c>
      <c r="G130">
        <v>45</v>
      </c>
      <c r="H130" s="36" t="s">
        <v>98</v>
      </c>
      <c r="I130" s="48" t="s">
        <v>114</v>
      </c>
      <c r="J130" s="48" t="s">
        <v>115</v>
      </c>
      <c r="O130"/>
    </row>
    <row r="131" spans="1:15" x14ac:dyDescent="0.25">
      <c r="A131">
        <v>367</v>
      </c>
      <c r="B131">
        <v>11893</v>
      </c>
      <c r="C131" s="2">
        <v>152860.99</v>
      </c>
      <c r="D131" s="2">
        <v>13896453.720000001</v>
      </c>
      <c r="E131" s="2">
        <v>4162190.1</v>
      </c>
      <c r="F131" s="1">
        <v>44865</v>
      </c>
      <c r="G131">
        <v>45</v>
      </c>
      <c r="H131" s="36" t="s">
        <v>64</v>
      </c>
      <c r="I131" s="48" t="s">
        <v>117</v>
      </c>
      <c r="J131" s="48" t="s">
        <v>115</v>
      </c>
      <c r="O131"/>
    </row>
    <row r="132" spans="1:15" x14ac:dyDescent="0.25">
      <c r="A132">
        <v>367</v>
      </c>
      <c r="B132">
        <v>11894</v>
      </c>
      <c r="C132" s="2">
        <v>152860.99</v>
      </c>
      <c r="D132" s="2">
        <v>13896453.720000001</v>
      </c>
      <c r="E132" s="2">
        <v>4162190.1</v>
      </c>
      <c r="F132" s="1">
        <v>44865</v>
      </c>
      <c r="G132">
        <v>45</v>
      </c>
      <c r="H132" s="36" t="s">
        <v>64</v>
      </c>
      <c r="I132" s="48" t="s">
        <v>117</v>
      </c>
      <c r="J132" s="48" t="s">
        <v>115</v>
      </c>
      <c r="O132"/>
    </row>
    <row r="133" spans="1:15" x14ac:dyDescent="0.25">
      <c r="A133">
        <v>367</v>
      </c>
      <c r="B133">
        <v>11895</v>
      </c>
      <c r="C133" s="2">
        <v>152860.99</v>
      </c>
      <c r="D133" s="2">
        <v>13896453.720000001</v>
      </c>
      <c r="E133" s="2">
        <v>4162190.1</v>
      </c>
      <c r="F133" s="1">
        <v>44865</v>
      </c>
      <c r="G133">
        <v>45</v>
      </c>
      <c r="H133" s="36" t="s">
        <v>64</v>
      </c>
      <c r="I133" s="48" t="s">
        <v>117</v>
      </c>
      <c r="J133" s="48" t="s">
        <v>115</v>
      </c>
      <c r="O133"/>
    </row>
    <row r="134" spans="1:15" x14ac:dyDescent="0.25">
      <c r="A134">
        <v>369</v>
      </c>
      <c r="B134">
        <v>11893</v>
      </c>
      <c r="C134" s="2">
        <v>82347.87</v>
      </c>
      <c r="D134" s="2">
        <v>4076627.31</v>
      </c>
      <c r="E134" s="2">
        <v>46881.22</v>
      </c>
      <c r="F134" s="1">
        <v>44865</v>
      </c>
      <c r="G134">
        <v>45</v>
      </c>
      <c r="H134" s="36" t="s">
        <v>64</v>
      </c>
      <c r="I134" s="48" t="s">
        <v>117</v>
      </c>
      <c r="J134" s="48" t="s">
        <v>115</v>
      </c>
      <c r="O134"/>
    </row>
    <row r="135" spans="1:15" x14ac:dyDescent="0.25">
      <c r="A135">
        <v>369</v>
      </c>
      <c r="B135">
        <v>11894</v>
      </c>
      <c r="C135" s="2">
        <v>82347.87</v>
      </c>
      <c r="D135" s="2">
        <v>4076627.31</v>
      </c>
      <c r="E135" s="2">
        <v>46881.22</v>
      </c>
      <c r="F135" s="1">
        <v>44865</v>
      </c>
      <c r="G135">
        <v>45</v>
      </c>
      <c r="H135" s="36" t="s">
        <v>64</v>
      </c>
      <c r="I135" s="48" t="s">
        <v>117</v>
      </c>
      <c r="J135" s="48" t="s">
        <v>115</v>
      </c>
      <c r="O135"/>
    </row>
    <row r="136" spans="1:15" x14ac:dyDescent="0.25">
      <c r="A136">
        <v>369</v>
      </c>
      <c r="B136">
        <v>11895</v>
      </c>
      <c r="C136" s="2">
        <v>82347.87</v>
      </c>
      <c r="D136" s="2">
        <v>4076627.31</v>
      </c>
      <c r="E136" s="2">
        <v>46881.22</v>
      </c>
      <c r="F136" s="1">
        <v>44865</v>
      </c>
      <c r="G136">
        <v>45</v>
      </c>
      <c r="H136" s="36" t="s">
        <v>64</v>
      </c>
      <c r="I136" s="48" t="s">
        <v>117</v>
      </c>
      <c r="J136" s="48" t="s">
        <v>115</v>
      </c>
      <c r="O136"/>
    </row>
    <row r="137" spans="1:15" x14ac:dyDescent="0.25">
      <c r="A137">
        <v>367</v>
      </c>
      <c r="B137">
        <v>11892</v>
      </c>
      <c r="C137" s="2">
        <v>152860.99</v>
      </c>
      <c r="D137" s="2">
        <v>13896453.720000001</v>
      </c>
      <c r="E137" s="2">
        <v>4162190.1</v>
      </c>
      <c r="F137" s="1">
        <v>44862</v>
      </c>
      <c r="G137">
        <v>44</v>
      </c>
      <c r="H137" s="36" t="s">
        <v>64</v>
      </c>
      <c r="I137" s="48" t="s">
        <v>117</v>
      </c>
      <c r="J137" s="48" t="s">
        <v>115</v>
      </c>
      <c r="O137"/>
    </row>
    <row r="138" spans="1:15" x14ac:dyDescent="0.25">
      <c r="A138">
        <v>369</v>
      </c>
      <c r="B138">
        <v>11892</v>
      </c>
      <c r="C138" s="2">
        <v>82347.87</v>
      </c>
      <c r="D138" s="2">
        <v>4076627.31</v>
      </c>
      <c r="E138" s="2">
        <v>46881.22</v>
      </c>
      <c r="F138" s="1">
        <v>44862</v>
      </c>
      <c r="G138">
        <v>44</v>
      </c>
      <c r="H138" s="36" t="s">
        <v>64</v>
      </c>
      <c r="I138" s="48" t="s">
        <v>117</v>
      </c>
      <c r="J138" s="48" t="s">
        <v>115</v>
      </c>
      <c r="O138"/>
    </row>
    <row r="139" spans="1:15" x14ac:dyDescent="0.25">
      <c r="A139">
        <v>459</v>
      </c>
      <c r="B139">
        <v>11891</v>
      </c>
      <c r="C139" s="2">
        <v>95628.09</v>
      </c>
      <c r="D139" s="2">
        <v>97248.9</v>
      </c>
      <c r="E139" s="2">
        <v>1620.81</v>
      </c>
      <c r="F139" s="1">
        <v>44861</v>
      </c>
      <c r="G139">
        <v>44</v>
      </c>
      <c r="H139" s="36" t="s">
        <v>56</v>
      </c>
      <c r="I139" s="48" t="s">
        <v>106</v>
      </c>
      <c r="J139" s="48" t="s">
        <v>107</v>
      </c>
      <c r="O139"/>
    </row>
    <row r="140" spans="1:15" x14ac:dyDescent="0.25">
      <c r="A140">
        <v>567</v>
      </c>
      <c r="B140">
        <v>11891</v>
      </c>
      <c r="C140" s="2">
        <v>95628.09</v>
      </c>
      <c r="D140" s="2">
        <v>97248.9</v>
      </c>
      <c r="E140" s="2">
        <v>1620.81</v>
      </c>
      <c r="F140" s="1">
        <v>44861</v>
      </c>
      <c r="G140">
        <v>44</v>
      </c>
      <c r="H140" s="36" t="s">
        <v>56</v>
      </c>
      <c r="I140" s="48" t="s">
        <v>106</v>
      </c>
      <c r="J140" s="48" t="s">
        <v>107</v>
      </c>
      <c r="O140"/>
    </row>
    <row r="141" spans="1:15" x14ac:dyDescent="0.25">
      <c r="A141">
        <v>689</v>
      </c>
      <c r="B141">
        <v>11889</v>
      </c>
      <c r="C141" s="2">
        <v>25366.54</v>
      </c>
      <c r="D141" s="2">
        <v>25366.54</v>
      </c>
      <c r="E141" s="2">
        <v>0</v>
      </c>
      <c r="F141" s="1">
        <v>44861</v>
      </c>
      <c r="G141">
        <v>44</v>
      </c>
      <c r="H141" s="36" t="s">
        <v>56</v>
      </c>
      <c r="I141" s="48" t="s">
        <v>106</v>
      </c>
      <c r="J141" s="48" t="s">
        <v>107</v>
      </c>
      <c r="O141"/>
    </row>
    <row r="142" spans="1:15" x14ac:dyDescent="0.25">
      <c r="A142">
        <v>690</v>
      </c>
      <c r="B142">
        <v>11889</v>
      </c>
      <c r="C142" s="2">
        <v>25366.54</v>
      </c>
      <c r="D142" s="2">
        <v>25366.54</v>
      </c>
      <c r="E142" s="2">
        <v>0</v>
      </c>
      <c r="F142" s="1">
        <v>44861</v>
      </c>
      <c r="G142">
        <v>44</v>
      </c>
      <c r="H142" s="36" t="s">
        <v>56</v>
      </c>
      <c r="I142" s="48" t="s">
        <v>106</v>
      </c>
      <c r="J142" s="48" t="s">
        <v>107</v>
      </c>
      <c r="O142"/>
    </row>
    <row r="143" spans="1:15" x14ac:dyDescent="0.25">
      <c r="A143">
        <v>367</v>
      </c>
      <c r="B143">
        <v>11879</v>
      </c>
      <c r="C143" s="2">
        <v>152860.99</v>
      </c>
      <c r="D143" s="2">
        <v>13896453.720000001</v>
      </c>
      <c r="E143" s="2">
        <v>4162190.1</v>
      </c>
      <c r="F143" s="1">
        <v>44859</v>
      </c>
      <c r="G143">
        <v>44</v>
      </c>
      <c r="H143" s="36" t="s">
        <v>64</v>
      </c>
      <c r="I143" s="48" t="s">
        <v>117</v>
      </c>
      <c r="J143" s="48" t="s">
        <v>115</v>
      </c>
      <c r="O143"/>
    </row>
    <row r="144" spans="1:15" x14ac:dyDescent="0.25">
      <c r="A144">
        <v>369</v>
      </c>
      <c r="B144">
        <v>11879</v>
      </c>
      <c r="C144" s="2">
        <v>82347.87</v>
      </c>
      <c r="D144" s="2">
        <v>4076627.31</v>
      </c>
      <c r="E144" s="2">
        <v>46881.22</v>
      </c>
      <c r="F144" s="1">
        <v>44859</v>
      </c>
      <c r="G144">
        <v>44</v>
      </c>
      <c r="H144" s="36" t="s">
        <v>64</v>
      </c>
      <c r="I144" s="48" t="s">
        <v>117</v>
      </c>
      <c r="J144" s="48" t="s">
        <v>115</v>
      </c>
      <c r="O144"/>
    </row>
    <row r="145" spans="1:15" x14ac:dyDescent="0.25">
      <c r="A145">
        <v>697</v>
      </c>
      <c r="B145">
        <v>11884</v>
      </c>
      <c r="C145" s="2">
        <v>276518.40000000002</v>
      </c>
      <c r="D145" s="2">
        <v>2304320</v>
      </c>
      <c r="E145" s="2">
        <v>494996.74</v>
      </c>
      <c r="F145" s="1">
        <v>44859</v>
      </c>
      <c r="G145">
        <v>44</v>
      </c>
      <c r="H145" s="36" t="s">
        <v>123</v>
      </c>
      <c r="I145" s="48" t="s">
        <v>117</v>
      </c>
      <c r="J145" s="48" t="s">
        <v>115</v>
      </c>
      <c r="O145"/>
    </row>
    <row r="146" spans="1:15" x14ac:dyDescent="0.25">
      <c r="A146">
        <v>763</v>
      </c>
      <c r="B146">
        <v>11876</v>
      </c>
      <c r="C146" s="2">
        <v>-5426.7000000000007</v>
      </c>
      <c r="D146" s="2">
        <v>5191.83</v>
      </c>
      <c r="E146" s="2">
        <v>5191.83</v>
      </c>
      <c r="F146" s="1">
        <v>44858</v>
      </c>
      <c r="G146">
        <v>44</v>
      </c>
      <c r="H146" s="36" t="s">
        <v>112</v>
      </c>
      <c r="I146" s="48" t="s">
        <v>106</v>
      </c>
      <c r="J146" s="48" t="s">
        <v>107</v>
      </c>
      <c r="O146"/>
    </row>
    <row r="147" spans="1:15" x14ac:dyDescent="0.25">
      <c r="A147">
        <v>392</v>
      </c>
      <c r="B147">
        <v>11875</v>
      </c>
      <c r="C147" s="2">
        <v>474934</v>
      </c>
      <c r="D147" s="2">
        <v>19885000</v>
      </c>
      <c r="E147" s="2">
        <v>17985264</v>
      </c>
      <c r="F147" s="1">
        <v>44855</v>
      </c>
      <c r="G147">
        <v>43</v>
      </c>
      <c r="H147" s="36" t="s">
        <v>119</v>
      </c>
      <c r="I147" s="48" t="s">
        <v>113</v>
      </c>
      <c r="J147" s="48" t="s">
        <v>120</v>
      </c>
      <c r="O147"/>
    </row>
    <row r="148" spans="1:15" x14ac:dyDescent="0.25">
      <c r="A148">
        <v>702</v>
      </c>
      <c r="B148">
        <v>11874</v>
      </c>
      <c r="C148" s="2">
        <v>28372.3</v>
      </c>
      <c r="D148" s="2">
        <v>28372.3</v>
      </c>
      <c r="E148" s="2">
        <v>0</v>
      </c>
      <c r="F148" s="1">
        <v>44852</v>
      </c>
      <c r="G148">
        <v>43</v>
      </c>
      <c r="H148" s="36" t="s">
        <v>59</v>
      </c>
      <c r="I148" s="48" t="s">
        <v>113</v>
      </c>
      <c r="J148" s="48"/>
      <c r="O148"/>
    </row>
    <row r="149" spans="1:15" x14ac:dyDescent="0.25">
      <c r="A149">
        <v>759</v>
      </c>
      <c r="B149">
        <v>339</v>
      </c>
      <c r="C149" s="2">
        <v>9368.89</v>
      </c>
      <c r="D149" s="2">
        <v>18737.78</v>
      </c>
      <c r="E149" s="2">
        <v>0</v>
      </c>
      <c r="F149" s="1">
        <v>44852</v>
      </c>
      <c r="G149">
        <v>43</v>
      </c>
      <c r="H149" s="36" t="s">
        <v>124</v>
      </c>
      <c r="I149" s="48" t="s">
        <v>107</v>
      </c>
      <c r="J149" s="48" t="s">
        <v>107</v>
      </c>
      <c r="O149"/>
    </row>
    <row r="150" spans="1:15" x14ac:dyDescent="0.25">
      <c r="A150">
        <v>363</v>
      </c>
      <c r="B150">
        <v>11869</v>
      </c>
      <c r="C150" s="2">
        <v>1047852.5</v>
      </c>
      <c r="D150" s="2">
        <v>7505280</v>
      </c>
      <c r="E150" s="2">
        <v>0</v>
      </c>
      <c r="F150" s="1">
        <v>44851</v>
      </c>
      <c r="G150">
        <v>43</v>
      </c>
      <c r="H150" s="36" t="s">
        <v>98</v>
      </c>
      <c r="I150" s="48" t="s">
        <v>114</v>
      </c>
      <c r="J150" s="48" t="s">
        <v>115</v>
      </c>
      <c r="O150"/>
    </row>
    <row r="151" spans="1:15" x14ac:dyDescent="0.25">
      <c r="A151">
        <v>533</v>
      </c>
      <c r="B151">
        <v>11867</v>
      </c>
      <c r="C151" s="2">
        <v>737284.3</v>
      </c>
      <c r="D151" s="2">
        <v>734699.29</v>
      </c>
      <c r="E151" s="2">
        <v>0</v>
      </c>
      <c r="F151" s="1">
        <v>44851</v>
      </c>
      <c r="G151">
        <v>43</v>
      </c>
      <c r="H151" s="36" t="s">
        <v>54</v>
      </c>
      <c r="I151" s="48" t="s">
        <v>106</v>
      </c>
      <c r="J151" s="48" t="s">
        <v>107</v>
      </c>
      <c r="O151"/>
    </row>
    <row r="152" spans="1:15" x14ac:dyDescent="0.25">
      <c r="A152">
        <v>542</v>
      </c>
      <c r="B152">
        <v>11867</v>
      </c>
      <c r="C152" s="2">
        <v>6777.66</v>
      </c>
      <c r="D152" s="2">
        <v>6777.66</v>
      </c>
      <c r="E152" s="2">
        <v>0</v>
      </c>
      <c r="F152" s="1">
        <v>44851</v>
      </c>
      <c r="G152">
        <v>43</v>
      </c>
      <c r="H152" s="36" t="s">
        <v>54</v>
      </c>
      <c r="I152" s="48" t="s">
        <v>106</v>
      </c>
      <c r="J152" s="48" t="s">
        <v>107</v>
      </c>
      <c r="O152"/>
    </row>
    <row r="153" spans="1:15" x14ac:dyDescent="0.25">
      <c r="A153">
        <v>554</v>
      </c>
      <c r="B153">
        <v>11866</v>
      </c>
      <c r="C153" s="2">
        <v>34008.559999999998</v>
      </c>
      <c r="D153" s="2">
        <v>34008.559999999998</v>
      </c>
      <c r="E153" s="2">
        <v>0</v>
      </c>
      <c r="F153" s="1">
        <v>44851</v>
      </c>
      <c r="G153">
        <v>43</v>
      </c>
      <c r="H153" s="36" t="s">
        <v>54</v>
      </c>
      <c r="I153" s="48" t="s">
        <v>106</v>
      </c>
      <c r="J153" s="48" t="s">
        <v>107</v>
      </c>
      <c r="O153"/>
    </row>
    <row r="154" spans="1:15" x14ac:dyDescent="0.25">
      <c r="A154">
        <v>608</v>
      </c>
      <c r="B154">
        <v>338</v>
      </c>
      <c r="C154" s="2">
        <v>799335.64</v>
      </c>
      <c r="D154" s="2">
        <v>3318540</v>
      </c>
      <c r="E154" s="2">
        <v>0</v>
      </c>
      <c r="F154" s="1">
        <v>44848</v>
      </c>
      <c r="G154">
        <v>42</v>
      </c>
      <c r="H154" s="36" t="s">
        <v>61</v>
      </c>
      <c r="I154" s="48" t="s">
        <v>120</v>
      </c>
      <c r="J154" s="48" t="s">
        <v>120</v>
      </c>
      <c r="O154"/>
    </row>
    <row r="155" spans="1:15" x14ac:dyDescent="0.25">
      <c r="A155">
        <v>367</v>
      </c>
      <c r="B155">
        <v>11861</v>
      </c>
      <c r="C155" s="2">
        <v>152860.99</v>
      </c>
      <c r="D155" s="2">
        <v>13896453.720000001</v>
      </c>
      <c r="E155" s="2">
        <v>4162190.1</v>
      </c>
      <c r="F155" s="1">
        <v>44847</v>
      </c>
      <c r="G155">
        <v>42</v>
      </c>
      <c r="H155" s="36" t="s">
        <v>64</v>
      </c>
      <c r="I155" s="48" t="s">
        <v>117</v>
      </c>
      <c r="J155" s="48" t="s">
        <v>115</v>
      </c>
      <c r="O155"/>
    </row>
    <row r="156" spans="1:15" x14ac:dyDescent="0.25">
      <c r="A156">
        <v>369</v>
      </c>
      <c r="B156">
        <v>11861</v>
      </c>
      <c r="C156" s="2">
        <v>82347.87</v>
      </c>
      <c r="D156" s="2">
        <v>4076627.31</v>
      </c>
      <c r="E156" s="2">
        <v>46881.22</v>
      </c>
      <c r="F156" s="1">
        <v>44847</v>
      </c>
      <c r="G156">
        <v>42</v>
      </c>
      <c r="H156" s="36" t="s">
        <v>64</v>
      </c>
      <c r="I156" s="48" t="s">
        <v>117</v>
      </c>
      <c r="J156" s="48" t="s">
        <v>115</v>
      </c>
      <c r="O156"/>
    </row>
    <row r="157" spans="1:15" x14ac:dyDescent="0.25">
      <c r="A157">
        <v>642</v>
      </c>
      <c r="B157">
        <v>11860</v>
      </c>
      <c r="C157" s="2">
        <v>269193.67</v>
      </c>
      <c r="D157" s="2">
        <v>1477029.97</v>
      </c>
      <c r="E157" s="2">
        <v>0</v>
      </c>
      <c r="F157" s="1">
        <v>44847</v>
      </c>
      <c r="G157">
        <v>42</v>
      </c>
      <c r="H157" s="36" t="s">
        <v>96</v>
      </c>
      <c r="I157" s="48" t="s">
        <v>120</v>
      </c>
      <c r="J157" s="48" t="s">
        <v>120</v>
      </c>
      <c r="O157"/>
    </row>
    <row r="158" spans="1:15" x14ac:dyDescent="0.25">
      <c r="A158">
        <v>367</v>
      </c>
      <c r="B158">
        <v>11859</v>
      </c>
      <c r="C158" s="2">
        <v>152860.99</v>
      </c>
      <c r="D158" s="2">
        <v>13896453.720000001</v>
      </c>
      <c r="E158" s="2">
        <v>4162190.1</v>
      </c>
      <c r="F158" s="1">
        <v>44845</v>
      </c>
      <c r="G158">
        <v>42</v>
      </c>
      <c r="H158" s="36" t="s">
        <v>64</v>
      </c>
      <c r="I158" s="48" t="s">
        <v>117</v>
      </c>
      <c r="J158" s="48" t="s">
        <v>115</v>
      </c>
      <c r="O158"/>
    </row>
    <row r="159" spans="1:15" x14ac:dyDescent="0.25">
      <c r="A159">
        <v>369</v>
      </c>
      <c r="B159">
        <v>11859</v>
      </c>
      <c r="C159" s="2">
        <v>82347.87</v>
      </c>
      <c r="D159" s="2">
        <v>4076627.31</v>
      </c>
      <c r="E159" s="2">
        <v>46881.22</v>
      </c>
      <c r="F159" s="1">
        <v>44845</v>
      </c>
      <c r="G159">
        <v>42</v>
      </c>
      <c r="H159" s="36" t="s">
        <v>64</v>
      </c>
      <c r="I159" s="48" t="s">
        <v>117</v>
      </c>
      <c r="J159" s="48" t="s">
        <v>115</v>
      </c>
      <c r="O159"/>
    </row>
    <row r="160" spans="1:15" x14ac:dyDescent="0.25">
      <c r="A160">
        <v>363</v>
      </c>
      <c r="B160">
        <v>11856</v>
      </c>
      <c r="C160" s="2">
        <v>1047852.5</v>
      </c>
      <c r="D160" s="2">
        <v>7505280</v>
      </c>
      <c r="E160" s="2">
        <v>0</v>
      </c>
      <c r="F160" s="1">
        <v>44840</v>
      </c>
      <c r="G160">
        <v>41</v>
      </c>
      <c r="H160" s="36" t="s">
        <v>98</v>
      </c>
      <c r="I160" s="48" t="s">
        <v>114</v>
      </c>
      <c r="J160" s="48" t="s">
        <v>115</v>
      </c>
      <c r="O160"/>
    </row>
    <row r="161" spans="1:15" x14ac:dyDescent="0.25">
      <c r="A161">
        <v>594</v>
      </c>
      <c r="B161">
        <v>11851</v>
      </c>
      <c r="C161" s="2">
        <v>77925.59</v>
      </c>
      <c r="D161" s="2">
        <v>78104.47</v>
      </c>
      <c r="E161" s="2">
        <v>178.88</v>
      </c>
      <c r="F161" s="1">
        <v>44839</v>
      </c>
      <c r="G161">
        <v>41</v>
      </c>
      <c r="H161" s="36" t="s">
        <v>54</v>
      </c>
      <c r="I161" s="48" t="s">
        <v>106</v>
      </c>
      <c r="J161" s="48" t="s">
        <v>107</v>
      </c>
      <c r="O161"/>
    </row>
    <row r="162" spans="1:15" x14ac:dyDescent="0.25">
      <c r="A162">
        <v>595</v>
      </c>
      <c r="B162">
        <v>11851</v>
      </c>
      <c r="C162" s="2">
        <v>35478.020000000004</v>
      </c>
      <c r="D162" s="2">
        <v>33534.519999999997</v>
      </c>
      <c r="E162" s="2">
        <v>0</v>
      </c>
      <c r="F162" s="1">
        <v>44839</v>
      </c>
      <c r="G162">
        <v>41</v>
      </c>
      <c r="H162" s="36" t="s">
        <v>54</v>
      </c>
      <c r="I162" s="48" t="s">
        <v>106</v>
      </c>
      <c r="J162" s="48" t="s">
        <v>107</v>
      </c>
      <c r="O162"/>
    </row>
    <row r="163" spans="1:15" x14ac:dyDescent="0.25">
      <c r="A163">
        <v>596</v>
      </c>
      <c r="B163">
        <v>11851</v>
      </c>
      <c r="C163" s="2">
        <v>77925.59</v>
      </c>
      <c r="D163" s="2">
        <v>78104.47</v>
      </c>
      <c r="E163" s="2">
        <v>178.88</v>
      </c>
      <c r="F163" s="1">
        <v>44839</v>
      </c>
      <c r="G163">
        <v>41</v>
      </c>
      <c r="H163" s="36" t="s">
        <v>54</v>
      </c>
      <c r="I163" s="48" t="s">
        <v>106</v>
      </c>
      <c r="J163" s="48" t="s">
        <v>107</v>
      </c>
      <c r="O163"/>
    </row>
    <row r="164" spans="1:15" x14ac:dyDescent="0.25">
      <c r="A164">
        <v>597</v>
      </c>
      <c r="B164">
        <v>11851</v>
      </c>
      <c r="C164" s="2">
        <v>35478.020000000004</v>
      </c>
      <c r="D164" s="2">
        <v>33534.519999999997</v>
      </c>
      <c r="E164" s="2">
        <v>0</v>
      </c>
      <c r="F164" s="1">
        <v>44839</v>
      </c>
      <c r="G164">
        <v>41</v>
      </c>
      <c r="H164" s="36" t="s">
        <v>54</v>
      </c>
      <c r="I164" s="48" t="s">
        <v>106</v>
      </c>
      <c r="J164" s="48" t="s">
        <v>107</v>
      </c>
      <c r="O164"/>
    </row>
    <row r="165" spans="1:15" x14ac:dyDescent="0.25">
      <c r="A165">
        <v>598</v>
      </c>
      <c r="B165">
        <v>11851</v>
      </c>
      <c r="C165" s="2">
        <v>77925.59</v>
      </c>
      <c r="D165" s="2">
        <v>78104.47</v>
      </c>
      <c r="E165" s="2">
        <v>178.88</v>
      </c>
      <c r="F165" s="1">
        <v>44839</v>
      </c>
      <c r="G165">
        <v>41</v>
      </c>
      <c r="H165" s="36" t="s">
        <v>54</v>
      </c>
      <c r="I165" s="48" t="s">
        <v>106</v>
      </c>
      <c r="J165" s="48" t="s">
        <v>107</v>
      </c>
      <c r="O165"/>
    </row>
    <row r="166" spans="1:15" x14ac:dyDescent="0.25">
      <c r="A166">
        <v>599</v>
      </c>
      <c r="B166">
        <v>11851</v>
      </c>
      <c r="C166" s="2">
        <v>35478.020000000004</v>
      </c>
      <c r="D166" s="2">
        <v>33534.519999999997</v>
      </c>
      <c r="E166" s="2">
        <v>0</v>
      </c>
      <c r="F166" s="1">
        <v>44839</v>
      </c>
      <c r="G166">
        <v>41</v>
      </c>
      <c r="H166" s="36" t="s">
        <v>54</v>
      </c>
      <c r="I166" s="48" t="s">
        <v>106</v>
      </c>
      <c r="J166" s="48" t="s">
        <v>107</v>
      </c>
      <c r="O166"/>
    </row>
    <row r="167" spans="1:15" x14ac:dyDescent="0.25">
      <c r="A167">
        <v>613</v>
      </c>
      <c r="B167">
        <v>11853</v>
      </c>
      <c r="C167" s="2">
        <v>74261.13</v>
      </c>
      <c r="D167" s="2">
        <v>75519.789999999994</v>
      </c>
      <c r="E167" s="2">
        <v>1258.6600000000001</v>
      </c>
      <c r="F167" s="1">
        <v>44839</v>
      </c>
      <c r="G167">
        <v>41</v>
      </c>
      <c r="H167" s="36" t="s">
        <v>54</v>
      </c>
      <c r="I167" s="48" t="s">
        <v>106</v>
      </c>
      <c r="J167" s="48" t="s">
        <v>107</v>
      </c>
      <c r="O167"/>
    </row>
    <row r="168" spans="1:15" x14ac:dyDescent="0.25">
      <c r="A168">
        <v>615</v>
      </c>
      <c r="B168">
        <v>11853</v>
      </c>
      <c r="C168" s="2">
        <v>74261.13</v>
      </c>
      <c r="D168" s="2">
        <v>75519.789999999994</v>
      </c>
      <c r="E168" s="2">
        <v>1258.6600000000001</v>
      </c>
      <c r="F168" s="1">
        <v>44839</v>
      </c>
      <c r="G168">
        <v>41</v>
      </c>
      <c r="H168" s="36" t="s">
        <v>54</v>
      </c>
      <c r="I168" s="48" t="s">
        <v>106</v>
      </c>
      <c r="J168" s="48" t="s">
        <v>107</v>
      </c>
      <c r="O168"/>
    </row>
    <row r="169" spans="1:15" x14ac:dyDescent="0.25">
      <c r="A169">
        <v>616</v>
      </c>
      <c r="B169">
        <v>11853</v>
      </c>
      <c r="C169" s="2">
        <v>74261.13</v>
      </c>
      <c r="D169" s="2">
        <v>75519.789999999994</v>
      </c>
      <c r="E169" s="2">
        <v>1258.6600000000001</v>
      </c>
      <c r="F169" s="1">
        <v>44839</v>
      </c>
      <c r="G169">
        <v>41</v>
      </c>
      <c r="H169" s="36" t="s">
        <v>54</v>
      </c>
      <c r="I169" s="48" t="s">
        <v>106</v>
      </c>
      <c r="J169" s="48" t="s">
        <v>107</v>
      </c>
      <c r="O169"/>
    </row>
    <row r="170" spans="1:15" x14ac:dyDescent="0.25">
      <c r="A170">
        <v>617</v>
      </c>
      <c r="B170">
        <v>11853</v>
      </c>
      <c r="C170" s="2">
        <v>74261.13</v>
      </c>
      <c r="D170" s="2">
        <v>75519.789999999994</v>
      </c>
      <c r="E170" s="2">
        <v>1258.6600000000001</v>
      </c>
      <c r="F170" s="1">
        <v>44839</v>
      </c>
      <c r="G170">
        <v>41</v>
      </c>
      <c r="H170" s="36" t="s">
        <v>54</v>
      </c>
      <c r="I170" s="48" t="s">
        <v>106</v>
      </c>
      <c r="J170" s="48" t="s">
        <v>107</v>
      </c>
      <c r="O170"/>
    </row>
    <row r="171" spans="1:15" x14ac:dyDescent="0.25">
      <c r="A171">
        <v>618</v>
      </c>
      <c r="B171">
        <v>11854</v>
      </c>
      <c r="C171" s="2">
        <v>74261.13</v>
      </c>
      <c r="D171" s="2">
        <v>75519.789999999994</v>
      </c>
      <c r="E171" s="2">
        <v>1258.6600000000001</v>
      </c>
      <c r="F171" s="1">
        <v>44839</v>
      </c>
      <c r="G171">
        <v>41</v>
      </c>
      <c r="H171" s="36" t="s">
        <v>54</v>
      </c>
      <c r="I171" s="48" t="s">
        <v>106</v>
      </c>
      <c r="J171" s="48" t="s">
        <v>107</v>
      </c>
      <c r="O171"/>
    </row>
    <row r="172" spans="1:15" x14ac:dyDescent="0.25">
      <c r="A172">
        <v>619</v>
      </c>
      <c r="B172">
        <v>11854</v>
      </c>
      <c r="C172" s="2">
        <v>74261.13</v>
      </c>
      <c r="D172" s="2">
        <v>75519.789999999994</v>
      </c>
      <c r="E172" s="2">
        <v>1258.6600000000001</v>
      </c>
      <c r="F172" s="1">
        <v>44839</v>
      </c>
      <c r="G172">
        <v>41</v>
      </c>
      <c r="H172" s="36" t="s">
        <v>54</v>
      </c>
      <c r="I172" s="48" t="s">
        <v>106</v>
      </c>
      <c r="J172" s="48" t="s">
        <v>107</v>
      </c>
      <c r="O172"/>
    </row>
    <row r="173" spans="1:15" x14ac:dyDescent="0.25">
      <c r="A173">
        <v>620</v>
      </c>
      <c r="B173">
        <v>11854</v>
      </c>
      <c r="C173" s="2">
        <v>74261.13</v>
      </c>
      <c r="D173" s="2">
        <v>75519.789999999994</v>
      </c>
      <c r="E173" s="2">
        <v>1258.6600000000001</v>
      </c>
      <c r="F173" s="1">
        <v>44839</v>
      </c>
      <c r="G173">
        <v>41</v>
      </c>
      <c r="H173" s="36" t="s">
        <v>54</v>
      </c>
      <c r="I173" s="48" t="s">
        <v>106</v>
      </c>
      <c r="J173" s="48" t="s">
        <v>107</v>
      </c>
      <c r="O173"/>
    </row>
    <row r="174" spans="1:15" x14ac:dyDescent="0.25">
      <c r="A174">
        <v>621</v>
      </c>
      <c r="B174">
        <v>11854</v>
      </c>
      <c r="C174" s="2">
        <v>74261.13</v>
      </c>
      <c r="D174" s="2">
        <v>75519.789999999994</v>
      </c>
      <c r="E174" s="2">
        <v>1258.6600000000001</v>
      </c>
      <c r="F174" s="1">
        <v>44839</v>
      </c>
      <c r="G174">
        <v>41</v>
      </c>
      <c r="H174" s="36" t="s">
        <v>54</v>
      </c>
      <c r="I174" s="48" t="s">
        <v>106</v>
      </c>
      <c r="J174" s="48" t="s">
        <v>107</v>
      </c>
      <c r="O174"/>
    </row>
    <row r="175" spans="1:15" x14ac:dyDescent="0.25">
      <c r="A175">
        <v>622</v>
      </c>
      <c r="B175">
        <v>11854</v>
      </c>
      <c r="C175" s="2">
        <v>74261.13</v>
      </c>
      <c r="D175" s="2">
        <v>75519.789999999994</v>
      </c>
      <c r="E175" s="2">
        <v>1258.6600000000001</v>
      </c>
      <c r="F175" s="1">
        <v>44839</v>
      </c>
      <c r="G175">
        <v>41</v>
      </c>
      <c r="H175" s="36" t="s">
        <v>54</v>
      </c>
      <c r="I175" s="48" t="s">
        <v>106</v>
      </c>
      <c r="J175" s="48" t="s">
        <v>107</v>
      </c>
      <c r="O175"/>
    </row>
    <row r="176" spans="1:15" x14ac:dyDescent="0.25">
      <c r="A176">
        <v>623</v>
      </c>
      <c r="B176">
        <v>11855</v>
      </c>
      <c r="C176" s="2">
        <v>74261.13</v>
      </c>
      <c r="D176" s="2">
        <v>75519.789999999994</v>
      </c>
      <c r="E176" s="2">
        <v>1258.6600000000001</v>
      </c>
      <c r="F176" s="1">
        <v>44839</v>
      </c>
      <c r="G176">
        <v>41</v>
      </c>
      <c r="H176" s="36" t="s">
        <v>54</v>
      </c>
      <c r="I176" s="48" t="s">
        <v>106</v>
      </c>
      <c r="J176" s="48" t="s">
        <v>107</v>
      </c>
      <c r="O176"/>
    </row>
    <row r="177" spans="1:15" x14ac:dyDescent="0.25">
      <c r="A177">
        <v>624</v>
      </c>
      <c r="B177">
        <v>11855</v>
      </c>
      <c r="C177" s="2">
        <v>74261.13</v>
      </c>
      <c r="D177" s="2">
        <v>75519.789999999994</v>
      </c>
      <c r="E177" s="2">
        <v>1258.6600000000001</v>
      </c>
      <c r="F177" s="1">
        <v>44839</v>
      </c>
      <c r="G177">
        <v>41</v>
      </c>
      <c r="H177" s="36" t="s">
        <v>54</v>
      </c>
      <c r="I177" s="48" t="s">
        <v>106</v>
      </c>
      <c r="J177" s="48" t="s">
        <v>107</v>
      </c>
      <c r="O177"/>
    </row>
    <row r="178" spans="1:15" x14ac:dyDescent="0.25">
      <c r="A178">
        <v>627</v>
      </c>
      <c r="B178">
        <v>11855</v>
      </c>
      <c r="C178" s="2">
        <v>74261.13</v>
      </c>
      <c r="D178" s="2">
        <v>75519.789999999994</v>
      </c>
      <c r="E178" s="2">
        <v>1258.6600000000001</v>
      </c>
      <c r="F178" s="1">
        <v>44839</v>
      </c>
      <c r="G178">
        <v>41</v>
      </c>
      <c r="H178" s="36" t="s">
        <v>54</v>
      </c>
      <c r="I178" s="48" t="s">
        <v>106</v>
      </c>
      <c r="J178" s="48" t="s">
        <v>107</v>
      </c>
      <c r="O178"/>
    </row>
    <row r="179" spans="1:15" x14ac:dyDescent="0.25">
      <c r="A179">
        <v>628</v>
      </c>
      <c r="B179">
        <v>11855</v>
      </c>
      <c r="C179" s="2">
        <v>74261.13</v>
      </c>
      <c r="D179" s="2">
        <v>75519.789999999994</v>
      </c>
      <c r="E179" s="2">
        <v>1258.6600000000001</v>
      </c>
      <c r="F179" s="1">
        <v>44839</v>
      </c>
      <c r="G179">
        <v>41</v>
      </c>
      <c r="H179" s="36" t="s">
        <v>54</v>
      </c>
      <c r="I179" s="48" t="s">
        <v>106</v>
      </c>
      <c r="J179" s="48" t="s">
        <v>107</v>
      </c>
      <c r="O179"/>
    </row>
    <row r="180" spans="1:15" x14ac:dyDescent="0.25">
      <c r="A180">
        <v>629</v>
      </c>
      <c r="B180">
        <v>11855</v>
      </c>
      <c r="C180" s="2">
        <v>74261.13</v>
      </c>
      <c r="D180" s="2">
        <v>75519.789999999994</v>
      </c>
      <c r="E180" s="2">
        <v>1258.6600000000001</v>
      </c>
      <c r="F180" s="1">
        <v>44839</v>
      </c>
      <c r="G180">
        <v>41</v>
      </c>
      <c r="H180" s="36" t="s">
        <v>54</v>
      </c>
      <c r="I180" s="48" t="s">
        <v>106</v>
      </c>
      <c r="J180" s="48" t="s">
        <v>107</v>
      </c>
      <c r="O180"/>
    </row>
    <row r="181" spans="1:15" x14ac:dyDescent="0.25">
      <c r="A181">
        <v>630</v>
      </c>
      <c r="B181">
        <v>11855</v>
      </c>
      <c r="C181" s="2">
        <v>74261.13</v>
      </c>
      <c r="D181" s="2">
        <v>75519.789999999994</v>
      </c>
      <c r="E181" s="2">
        <v>1258.6600000000001</v>
      </c>
      <c r="F181" s="1">
        <v>44839</v>
      </c>
      <c r="G181">
        <v>41</v>
      </c>
      <c r="H181" s="36" t="s">
        <v>54</v>
      </c>
      <c r="I181" s="48" t="s">
        <v>106</v>
      </c>
      <c r="J181" s="48" t="s">
        <v>107</v>
      </c>
      <c r="O181"/>
    </row>
    <row r="182" spans="1:15" x14ac:dyDescent="0.25">
      <c r="A182">
        <v>631</v>
      </c>
      <c r="B182">
        <v>11855</v>
      </c>
      <c r="C182" s="2">
        <v>74261.13</v>
      </c>
      <c r="D182" s="2">
        <v>75519.789999999994</v>
      </c>
      <c r="E182" s="2">
        <v>1258.6600000000001</v>
      </c>
      <c r="F182" s="1">
        <v>44839</v>
      </c>
      <c r="G182">
        <v>41</v>
      </c>
      <c r="H182" s="36" t="s">
        <v>54</v>
      </c>
      <c r="I182" s="48" t="s">
        <v>106</v>
      </c>
      <c r="J182" s="48" t="s">
        <v>107</v>
      </c>
      <c r="O182"/>
    </row>
    <row r="183" spans="1:15" x14ac:dyDescent="0.25">
      <c r="A183">
        <v>646</v>
      </c>
      <c r="B183">
        <v>11840</v>
      </c>
      <c r="C183" s="2">
        <v>16595.43</v>
      </c>
      <c r="D183" s="2">
        <v>16595.43</v>
      </c>
      <c r="E183" s="2">
        <v>0</v>
      </c>
      <c r="F183" s="1">
        <v>44834</v>
      </c>
      <c r="G183">
        <v>40</v>
      </c>
      <c r="H183" s="36" t="s">
        <v>54</v>
      </c>
      <c r="I183" s="48" t="s">
        <v>106</v>
      </c>
      <c r="J183" s="48" t="s">
        <v>107</v>
      </c>
      <c r="O183"/>
    </row>
    <row r="184" spans="1:15" x14ac:dyDescent="0.25">
      <c r="A184">
        <v>647</v>
      </c>
      <c r="B184">
        <v>11840</v>
      </c>
      <c r="C184" s="2">
        <v>16595.43</v>
      </c>
      <c r="D184" s="2">
        <v>16595.43</v>
      </c>
      <c r="E184" s="2">
        <v>0</v>
      </c>
      <c r="F184" s="1">
        <v>44834</v>
      </c>
      <c r="G184">
        <v>40</v>
      </c>
      <c r="H184" s="36" t="s">
        <v>54</v>
      </c>
      <c r="I184" s="48" t="s">
        <v>106</v>
      </c>
      <c r="J184" s="48" t="s">
        <v>107</v>
      </c>
      <c r="O184"/>
    </row>
    <row r="185" spans="1:15" x14ac:dyDescent="0.25">
      <c r="A185">
        <v>648</v>
      </c>
      <c r="B185">
        <v>11840</v>
      </c>
      <c r="C185" s="2">
        <v>16672.48</v>
      </c>
      <c r="D185" s="2">
        <v>16672.48</v>
      </c>
      <c r="E185" s="2">
        <v>0</v>
      </c>
      <c r="F185" s="1">
        <v>44834</v>
      </c>
      <c r="G185">
        <v>40</v>
      </c>
      <c r="H185" s="36" t="s">
        <v>54</v>
      </c>
      <c r="I185" s="48" t="s">
        <v>106</v>
      </c>
      <c r="J185" s="48" t="s">
        <v>107</v>
      </c>
      <c r="O185"/>
    </row>
    <row r="186" spans="1:15" x14ac:dyDescent="0.25">
      <c r="A186">
        <v>649</v>
      </c>
      <c r="B186">
        <v>11840</v>
      </c>
      <c r="C186" s="2">
        <v>16672.48</v>
      </c>
      <c r="D186" s="2">
        <v>16672.48</v>
      </c>
      <c r="E186" s="2">
        <v>0</v>
      </c>
      <c r="F186" s="1">
        <v>44834</v>
      </c>
      <c r="G186">
        <v>40</v>
      </c>
      <c r="H186" s="36" t="s">
        <v>54</v>
      </c>
      <c r="I186" s="48" t="s">
        <v>106</v>
      </c>
      <c r="J186" s="48" t="s">
        <v>107</v>
      </c>
      <c r="O186"/>
    </row>
    <row r="187" spans="1:15" x14ac:dyDescent="0.25">
      <c r="A187">
        <v>650</v>
      </c>
      <c r="B187">
        <v>11838</v>
      </c>
      <c r="C187" s="2">
        <v>41947.040000000001</v>
      </c>
      <c r="D187" s="2">
        <v>42520.35</v>
      </c>
      <c r="E187" s="2">
        <v>573.30999999999995</v>
      </c>
      <c r="F187" s="1">
        <v>44834</v>
      </c>
      <c r="G187">
        <v>40</v>
      </c>
      <c r="H187" s="36" t="s">
        <v>54</v>
      </c>
      <c r="I187" s="48" t="s">
        <v>106</v>
      </c>
      <c r="J187" s="48" t="s">
        <v>107</v>
      </c>
      <c r="O187"/>
    </row>
    <row r="188" spans="1:15" x14ac:dyDescent="0.25">
      <c r="A188">
        <v>651</v>
      </c>
      <c r="B188">
        <v>11839</v>
      </c>
      <c r="C188" s="2">
        <v>41947.040000000001</v>
      </c>
      <c r="D188" s="2">
        <v>42520.35</v>
      </c>
      <c r="E188" s="2">
        <v>573.30999999999995</v>
      </c>
      <c r="F188" s="1">
        <v>44834</v>
      </c>
      <c r="G188">
        <v>40</v>
      </c>
      <c r="H188" s="36" t="s">
        <v>54</v>
      </c>
      <c r="I188" s="48" t="s">
        <v>106</v>
      </c>
      <c r="J188" s="48" t="s">
        <v>107</v>
      </c>
      <c r="O188"/>
    </row>
    <row r="189" spans="1:15" x14ac:dyDescent="0.25">
      <c r="A189">
        <v>697</v>
      </c>
      <c r="B189">
        <v>11835</v>
      </c>
      <c r="C189" s="2">
        <v>551020.52</v>
      </c>
      <c r="D189" s="2">
        <v>2304320</v>
      </c>
      <c r="E189" s="2">
        <v>494996.74</v>
      </c>
      <c r="F189" s="1">
        <v>44833</v>
      </c>
      <c r="G189">
        <v>40</v>
      </c>
      <c r="H189" s="36" t="s">
        <v>123</v>
      </c>
      <c r="I189" s="48" t="s">
        <v>117</v>
      </c>
      <c r="J189" s="48" t="s">
        <v>115</v>
      </c>
      <c r="O189"/>
    </row>
    <row r="190" spans="1:15" x14ac:dyDescent="0.25">
      <c r="A190">
        <v>639</v>
      </c>
      <c r="B190">
        <v>11826</v>
      </c>
      <c r="C190" s="2">
        <v>152059.87000000002</v>
      </c>
      <c r="D190" s="2">
        <v>154637.15</v>
      </c>
      <c r="E190" s="2">
        <v>2577.2800000000002</v>
      </c>
      <c r="F190" s="1">
        <v>44832</v>
      </c>
      <c r="G190">
        <v>40</v>
      </c>
      <c r="H190" s="36" t="s">
        <v>54</v>
      </c>
      <c r="I190" s="48" t="s">
        <v>106</v>
      </c>
      <c r="J190" s="48" t="s">
        <v>107</v>
      </c>
      <c r="O190"/>
    </row>
    <row r="191" spans="1:15" x14ac:dyDescent="0.25">
      <c r="A191">
        <v>641</v>
      </c>
      <c r="B191">
        <v>11825</v>
      </c>
      <c r="C191" s="2">
        <v>152059.87000000002</v>
      </c>
      <c r="D191" s="2">
        <v>154637.15</v>
      </c>
      <c r="E191" s="2">
        <v>2577.2800000000002</v>
      </c>
      <c r="F191" s="1">
        <v>44832</v>
      </c>
      <c r="G191">
        <v>40</v>
      </c>
      <c r="H191" s="36" t="s">
        <v>54</v>
      </c>
      <c r="I191" s="48" t="s">
        <v>106</v>
      </c>
      <c r="J191" s="48" t="s">
        <v>107</v>
      </c>
      <c r="O191"/>
    </row>
    <row r="192" spans="1:15" x14ac:dyDescent="0.25">
      <c r="A192">
        <v>725</v>
      </c>
      <c r="B192">
        <v>11828</v>
      </c>
      <c r="C192" s="2">
        <v>-26204.78</v>
      </c>
      <c r="D192" s="2">
        <v>23726.78</v>
      </c>
      <c r="E192" s="2">
        <v>23726.78</v>
      </c>
      <c r="F192" s="1">
        <v>44832</v>
      </c>
      <c r="G192">
        <v>40</v>
      </c>
      <c r="H192" s="36" t="s">
        <v>56</v>
      </c>
      <c r="I192" s="48" t="s">
        <v>106</v>
      </c>
      <c r="J192" s="48" t="s">
        <v>107</v>
      </c>
      <c r="O192"/>
    </row>
    <row r="193" spans="1:15" x14ac:dyDescent="0.25">
      <c r="A193">
        <v>725</v>
      </c>
      <c r="B193">
        <v>11828</v>
      </c>
      <c r="C193" s="2">
        <v>-26204.78</v>
      </c>
      <c r="D193" s="2">
        <v>23726.78</v>
      </c>
      <c r="E193" s="2">
        <v>23726.78</v>
      </c>
      <c r="F193" s="1">
        <v>44832</v>
      </c>
      <c r="G193">
        <v>40</v>
      </c>
      <c r="H193" s="36" t="s">
        <v>56</v>
      </c>
      <c r="I193" s="48" t="s">
        <v>106</v>
      </c>
      <c r="J193" s="48" t="s">
        <v>107</v>
      </c>
      <c r="O193"/>
    </row>
    <row r="194" spans="1:15" x14ac:dyDescent="0.25">
      <c r="A194">
        <v>725</v>
      </c>
      <c r="B194">
        <v>11828</v>
      </c>
      <c r="C194" s="2">
        <v>-53081.07</v>
      </c>
      <c r="D194" s="2">
        <v>23726.78</v>
      </c>
      <c r="E194" s="2">
        <v>23726.78</v>
      </c>
      <c r="F194" s="1">
        <v>44832</v>
      </c>
      <c r="G194">
        <v>40</v>
      </c>
      <c r="H194" s="36" t="s">
        <v>56</v>
      </c>
      <c r="I194" s="48" t="s">
        <v>106</v>
      </c>
      <c r="J194" s="48" t="s">
        <v>107</v>
      </c>
      <c r="O194"/>
    </row>
    <row r="195" spans="1:15" x14ac:dyDescent="0.25">
      <c r="A195">
        <v>741</v>
      </c>
      <c r="B195">
        <v>11829</v>
      </c>
      <c r="C195" s="2">
        <v>-53081.07</v>
      </c>
      <c r="D195" s="2">
        <v>50293.32</v>
      </c>
      <c r="E195" s="2">
        <v>50293.32</v>
      </c>
      <c r="F195" s="1">
        <v>44832</v>
      </c>
      <c r="G195">
        <v>40</v>
      </c>
      <c r="H195" s="36" t="s">
        <v>56</v>
      </c>
      <c r="I195" s="48" t="s">
        <v>106</v>
      </c>
      <c r="J195" s="48" t="s">
        <v>107</v>
      </c>
      <c r="O195"/>
    </row>
    <row r="196" spans="1:15" x14ac:dyDescent="0.25">
      <c r="A196">
        <v>741</v>
      </c>
      <c r="B196">
        <v>11829</v>
      </c>
      <c r="C196" s="2">
        <v>-26204.78</v>
      </c>
      <c r="D196" s="2">
        <v>50293.32</v>
      </c>
      <c r="E196" s="2">
        <v>50293.32</v>
      </c>
      <c r="F196" s="1">
        <v>44832</v>
      </c>
      <c r="G196">
        <v>40</v>
      </c>
      <c r="H196" s="36" t="s">
        <v>56</v>
      </c>
      <c r="I196" s="48" t="s">
        <v>106</v>
      </c>
      <c r="J196" s="48" t="s">
        <v>107</v>
      </c>
      <c r="O196"/>
    </row>
    <row r="197" spans="1:15" x14ac:dyDescent="0.25">
      <c r="A197">
        <v>741</v>
      </c>
      <c r="B197">
        <v>11829</v>
      </c>
      <c r="C197" s="2">
        <v>-53081.07</v>
      </c>
      <c r="D197" s="2">
        <v>50293.32</v>
      </c>
      <c r="E197" s="2">
        <v>50293.32</v>
      </c>
      <c r="F197" s="1">
        <v>44832</v>
      </c>
      <c r="G197">
        <v>40</v>
      </c>
      <c r="H197" s="36" t="s">
        <v>56</v>
      </c>
      <c r="I197" s="48" t="s">
        <v>106</v>
      </c>
      <c r="J197" s="48" t="s">
        <v>107</v>
      </c>
      <c r="O197"/>
    </row>
    <row r="198" spans="1:15" x14ac:dyDescent="0.25">
      <c r="A198">
        <v>392</v>
      </c>
      <c r="B198">
        <v>11815</v>
      </c>
      <c r="C198" s="2">
        <v>-474934</v>
      </c>
      <c r="D198" s="2">
        <v>19885000</v>
      </c>
      <c r="E198" s="2">
        <v>17985264</v>
      </c>
      <c r="F198" s="1">
        <v>44831</v>
      </c>
      <c r="G198">
        <v>40</v>
      </c>
      <c r="H198" s="36" t="s">
        <v>119</v>
      </c>
      <c r="I198" s="48" t="s">
        <v>113</v>
      </c>
      <c r="J198" s="48" t="s">
        <v>120</v>
      </c>
      <c r="O198"/>
    </row>
    <row r="199" spans="1:15" x14ac:dyDescent="0.25">
      <c r="A199">
        <v>503</v>
      </c>
      <c r="B199">
        <v>11817</v>
      </c>
      <c r="C199" s="2">
        <v>238786.02000000002</v>
      </c>
      <c r="D199" s="2">
        <v>278583.69</v>
      </c>
      <c r="E199" s="2">
        <v>39797.67</v>
      </c>
      <c r="F199" s="1">
        <v>44831</v>
      </c>
      <c r="G199">
        <v>40</v>
      </c>
      <c r="H199" s="36" t="s">
        <v>61</v>
      </c>
      <c r="I199" s="48" t="s">
        <v>120</v>
      </c>
      <c r="J199" s="48" t="s">
        <v>120</v>
      </c>
      <c r="O199"/>
    </row>
    <row r="200" spans="1:15" x14ac:dyDescent="0.25">
      <c r="A200">
        <v>725</v>
      </c>
      <c r="B200">
        <v>11819</v>
      </c>
      <c r="C200" s="2">
        <v>26204.78</v>
      </c>
      <c r="D200" s="2">
        <v>23726.78</v>
      </c>
      <c r="E200" s="2">
        <v>23726.78</v>
      </c>
      <c r="F200" s="1">
        <v>44831</v>
      </c>
      <c r="G200">
        <v>40</v>
      </c>
      <c r="H200" s="36" t="s">
        <v>56</v>
      </c>
      <c r="I200" s="48" t="s">
        <v>106</v>
      </c>
      <c r="J200" s="48" t="s">
        <v>107</v>
      </c>
      <c r="O200"/>
    </row>
    <row r="201" spans="1:15" x14ac:dyDescent="0.25">
      <c r="A201">
        <v>725</v>
      </c>
      <c r="B201">
        <v>11819</v>
      </c>
      <c r="C201" s="2">
        <v>26204.78</v>
      </c>
      <c r="D201" s="2">
        <v>23726.78</v>
      </c>
      <c r="E201" s="2">
        <v>23726.78</v>
      </c>
      <c r="F201" s="1">
        <v>44831</v>
      </c>
      <c r="G201">
        <v>40</v>
      </c>
      <c r="H201" s="36" t="s">
        <v>56</v>
      </c>
      <c r="I201" s="48" t="s">
        <v>106</v>
      </c>
      <c r="J201" s="48" t="s">
        <v>107</v>
      </c>
      <c r="O201"/>
    </row>
    <row r="202" spans="1:15" x14ac:dyDescent="0.25">
      <c r="A202">
        <v>725</v>
      </c>
      <c r="B202">
        <v>11819</v>
      </c>
      <c r="C202" s="2">
        <v>53081.07</v>
      </c>
      <c r="D202" s="2">
        <v>23726.78</v>
      </c>
      <c r="E202" s="2">
        <v>23726.78</v>
      </c>
      <c r="F202" s="1">
        <v>44831</v>
      </c>
      <c r="G202">
        <v>40</v>
      </c>
      <c r="H202" s="36" t="s">
        <v>56</v>
      </c>
      <c r="I202" s="48" t="s">
        <v>106</v>
      </c>
      <c r="J202" s="48" t="s">
        <v>107</v>
      </c>
      <c r="O202"/>
    </row>
    <row r="203" spans="1:15" x14ac:dyDescent="0.25">
      <c r="A203">
        <v>741</v>
      </c>
      <c r="B203">
        <v>11820</v>
      </c>
      <c r="C203" s="2">
        <v>53081.07</v>
      </c>
      <c r="D203" s="2">
        <v>50293.32</v>
      </c>
      <c r="E203" s="2">
        <v>50293.32</v>
      </c>
      <c r="F203" s="1">
        <v>44831</v>
      </c>
      <c r="G203">
        <v>40</v>
      </c>
      <c r="H203" s="36" t="s">
        <v>56</v>
      </c>
      <c r="I203" s="48" t="s">
        <v>106</v>
      </c>
      <c r="J203" s="48" t="s">
        <v>107</v>
      </c>
      <c r="O203"/>
    </row>
    <row r="204" spans="1:15" x14ac:dyDescent="0.25">
      <c r="A204">
        <v>741</v>
      </c>
      <c r="B204">
        <v>11820</v>
      </c>
      <c r="C204" s="2">
        <v>26204.78</v>
      </c>
      <c r="D204" s="2">
        <v>50293.32</v>
      </c>
      <c r="E204" s="2">
        <v>50293.32</v>
      </c>
      <c r="F204" s="1">
        <v>44831</v>
      </c>
      <c r="G204">
        <v>40</v>
      </c>
      <c r="H204" s="36" t="s">
        <v>56</v>
      </c>
      <c r="I204" s="48" t="s">
        <v>106</v>
      </c>
      <c r="J204" s="48" t="s">
        <v>107</v>
      </c>
      <c r="O204"/>
    </row>
    <row r="205" spans="1:15" x14ac:dyDescent="0.25">
      <c r="A205">
        <v>741</v>
      </c>
      <c r="B205">
        <v>11820</v>
      </c>
      <c r="C205" s="2">
        <v>53081.07</v>
      </c>
      <c r="D205" s="2">
        <v>50293.32</v>
      </c>
      <c r="E205" s="2">
        <v>50293.32</v>
      </c>
      <c r="F205" s="1">
        <v>44831</v>
      </c>
      <c r="G205">
        <v>40</v>
      </c>
      <c r="H205" s="36" t="s">
        <v>56</v>
      </c>
      <c r="I205" s="48" t="s">
        <v>106</v>
      </c>
      <c r="J205" s="48" t="s">
        <v>107</v>
      </c>
      <c r="O205"/>
    </row>
    <row r="206" spans="1:15" x14ac:dyDescent="0.25">
      <c r="A206">
        <v>367</v>
      </c>
      <c r="B206">
        <v>11806</v>
      </c>
      <c r="C206" s="2">
        <v>75040.850000000006</v>
      </c>
      <c r="D206" s="2">
        <v>13896453.720000001</v>
      </c>
      <c r="E206" s="2">
        <v>4162190.1</v>
      </c>
      <c r="F206" s="1">
        <v>44830</v>
      </c>
      <c r="G206">
        <v>40</v>
      </c>
      <c r="H206" s="36" t="s">
        <v>64</v>
      </c>
      <c r="I206" s="48" t="s">
        <v>117</v>
      </c>
      <c r="J206" s="48" t="s">
        <v>115</v>
      </c>
      <c r="O206"/>
    </row>
    <row r="207" spans="1:15" x14ac:dyDescent="0.25">
      <c r="A207">
        <v>369</v>
      </c>
      <c r="B207">
        <v>11806</v>
      </c>
      <c r="C207" s="2">
        <v>41173.94</v>
      </c>
      <c r="D207" s="2">
        <v>4076627.31</v>
      </c>
      <c r="E207" s="2">
        <v>46881.22</v>
      </c>
      <c r="F207" s="1">
        <v>44830</v>
      </c>
      <c r="G207">
        <v>40</v>
      </c>
      <c r="H207" s="36" t="s">
        <v>64</v>
      </c>
      <c r="I207" s="48" t="s">
        <v>117</v>
      </c>
      <c r="J207" s="48" t="s">
        <v>115</v>
      </c>
      <c r="O207"/>
    </row>
    <row r="208" spans="1:15" x14ac:dyDescent="0.25">
      <c r="A208">
        <v>508</v>
      </c>
      <c r="B208">
        <v>11804</v>
      </c>
      <c r="C208" s="2">
        <v>737295.99</v>
      </c>
      <c r="D208" s="2">
        <v>9505320</v>
      </c>
      <c r="E208" s="2">
        <v>24857.85</v>
      </c>
      <c r="F208" s="1">
        <v>44830</v>
      </c>
      <c r="G208">
        <v>40</v>
      </c>
      <c r="H208" s="36" t="s">
        <v>63</v>
      </c>
      <c r="I208" s="48" t="s">
        <v>117</v>
      </c>
      <c r="J208" s="48" t="s">
        <v>115</v>
      </c>
      <c r="O208"/>
    </row>
    <row r="209" spans="1:15" x14ac:dyDescent="0.25">
      <c r="A209">
        <v>588</v>
      </c>
      <c r="B209">
        <v>11802</v>
      </c>
      <c r="C209" s="2">
        <v>29802.74</v>
      </c>
      <c r="D209" s="2">
        <v>31292.880000000001</v>
      </c>
      <c r="E209" s="2">
        <v>1490.14</v>
      </c>
      <c r="F209" s="1">
        <v>44830</v>
      </c>
      <c r="G209">
        <v>40</v>
      </c>
      <c r="H209" s="36" t="s">
        <v>54</v>
      </c>
      <c r="I209" s="48" t="s">
        <v>106</v>
      </c>
      <c r="J209" s="48" t="s">
        <v>107</v>
      </c>
      <c r="O209"/>
    </row>
    <row r="210" spans="1:15" x14ac:dyDescent="0.25">
      <c r="A210">
        <v>607</v>
      </c>
      <c r="B210">
        <v>11803</v>
      </c>
      <c r="C210" s="2">
        <v>101772.20999999999</v>
      </c>
      <c r="D210" s="2">
        <v>103591.67</v>
      </c>
      <c r="E210" s="2">
        <v>1819.46</v>
      </c>
      <c r="F210" s="1">
        <v>44830</v>
      </c>
      <c r="G210">
        <v>40</v>
      </c>
      <c r="H210" s="36" t="s">
        <v>56</v>
      </c>
      <c r="I210" s="48" t="s">
        <v>106</v>
      </c>
      <c r="J210" s="48" t="s">
        <v>107</v>
      </c>
      <c r="O210"/>
    </row>
    <row r="211" spans="1:15" x14ac:dyDescent="0.25">
      <c r="A211">
        <v>609</v>
      </c>
      <c r="B211">
        <v>11801</v>
      </c>
      <c r="C211" s="2">
        <v>74261.13</v>
      </c>
      <c r="D211" s="2">
        <v>75519.789999999994</v>
      </c>
      <c r="E211" s="2">
        <v>1258.6600000000001</v>
      </c>
      <c r="F211" s="1">
        <v>44830</v>
      </c>
      <c r="G211">
        <v>40</v>
      </c>
      <c r="H211" s="36" t="s">
        <v>54</v>
      </c>
      <c r="I211" s="48" t="s">
        <v>106</v>
      </c>
      <c r="J211" s="48" t="s">
        <v>107</v>
      </c>
      <c r="O211"/>
    </row>
    <row r="212" spans="1:15" x14ac:dyDescent="0.25">
      <c r="A212">
        <v>610</v>
      </c>
      <c r="B212">
        <v>11801</v>
      </c>
      <c r="C212" s="2">
        <v>74261.13</v>
      </c>
      <c r="D212" s="2">
        <v>75519.789999999994</v>
      </c>
      <c r="E212" s="2">
        <v>1258.6600000000001</v>
      </c>
      <c r="F212" s="1">
        <v>44830</v>
      </c>
      <c r="G212">
        <v>40</v>
      </c>
      <c r="H212" s="36" t="s">
        <v>54</v>
      </c>
      <c r="I212" s="48" t="s">
        <v>106</v>
      </c>
      <c r="J212" s="48" t="s">
        <v>107</v>
      </c>
      <c r="O212"/>
    </row>
    <row r="213" spans="1:15" x14ac:dyDescent="0.25">
      <c r="A213">
        <v>611</v>
      </c>
      <c r="B213">
        <v>11801</v>
      </c>
      <c r="C213" s="2">
        <v>74261.13</v>
      </c>
      <c r="D213" s="2">
        <v>75519.789999999994</v>
      </c>
      <c r="E213" s="2">
        <v>1258.6600000000001</v>
      </c>
      <c r="F213" s="1">
        <v>44830</v>
      </c>
      <c r="G213">
        <v>40</v>
      </c>
      <c r="H213" s="36" t="s">
        <v>54</v>
      </c>
      <c r="I213" s="48" t="s">
        <v>106</v>
      </c>
      <c r="J213" s="48" t="s">
        <v>107</v>
      </c>
      <c r="O213"/>
    </row>
    <row r="214" spans="1:15" x14ac:dyDescent="0.25">
      <c r="A214">
        <v>612</v>
      </c>
      <c r="B214">
        <v>11801</v>
      </c>
      <c r="C214" s="2">
        <v>74261.13</v>
      </c>
      <c r="D214" s="2">
        <v>75519.789999999994</v>
      </c>
      <c r="E214" s="2">
        <v>1258.6600000000001</v>
      </c>
      <c r="F214" s="1">
        <v>44830</v>
      </c>
      <c r="G214">
        <v>40</v>
      </c>
      <c r="H214" s="36" t="s">
        <v>54</v>
      </c>
      <c r="I214" s="48" t="s">
        <v>106</v>
      </c>
      <c r="J214" s="48" t="s">
        <v>107</v>
      </c>
      <c r="O214"/>
    </row>
    <row r="215" spans="1:15" x14ac:dyDescent="0.25">
      <c r="A215">
        <v>614</v>
      </c>
      <c r="B215">
        <v>11801</v>
      </c>
      <c r="C215" s="2">
        <v>74261.13</v>
      </c>
      <c r="D215" s="2">
        <v>75519.789999999994</v>
      </c>
      <c r="E215" s="2">
        <v>1258.6600000000001</v>
      </c>
      <c r="F215" s="1">
        <v>44830</v>
      </c>
      <c r="G215">
        <v>40</v>
      </c>
      <c r="H215" s="36" t="s">
        <v>54</v>
      </c>
      <c r="I215" s="48" t="s">
        <v>106</v>
      </c>
      <c r="J215" s="48" t="s">
        <v>107</v>
      </c>
      <c r="O215"/>
    </row>
    <row r="216" spans="1:15" x14ac:dyDescent="0.25">
      <c r="A216">
        <v>697</v>
      </c>
      <c r="B216">
        <v>11805</v>
      </c>
      <c r="C216" s="2">
        <v>737295.99</v>
      </c>
      <c r="D216" s="2">
        <v>2304320</v>
      </c>
      <c r="E216" s="2">
        <v>494996.74</v>
      </c>
      <c r="F216" s="1">
        <v>44830</v>
      </c>
      <c r="G216">
        <v>40</v>
      </c>
      <c r="H216" s="36" t="s">
        <v>123</v>
      </c>
      <c r="I216" s="48" t="s">
        <v>117</v>
      </c>
      <c r="J216" s="48" t="s">
        <v>115</v>
      </c>
      <c r="O216"/>
    </row>
    <row r="217" spans="1:15" x14ac:dyDescent="0.25">
      <c r="A217">
        <v>508</v>
      </c>
      <c r="B217">
        <v>11788</v>
      </c>
      <c r="C217" s="2">
        <v>737295.99</v>
      </c>
      <c r="D217" s="2">
        <v>9505320</v>
      </c>
      <c r="E217" s="2">
        <v>24857.85</v>
      </c>
      <c r="F217" s="1">
        <v>44827</v>
      </c>
      <c r="G217">
        <v>39</v>
      </c>
      <c r="H217" s="36" t="s">
        <v>63</v>
      </c>
      <c r="I217" s="48" t="s">
        <v>117</v>
      </c>
      <c r="J217" s="48" t="s">
        <v>115</v>
      </c>
      <c r="O217"/>
    </row>
    <row r="218" spans="1:15" x14ac:dyDescent="0.25">
      <c r="A218">
        <v>508</v>
      </c>
      <c r="B218">
        <v>11789</v>
      </c>
      <c r="C218" s="2">
        <v>737295.99</v>
      </c>
      <c r="D218" s="2">
        <v>9505320</v>
      </c>
      <c r="E218" s="2">
        <v>24857.85</v>
      </c>
      <c r="F218" s="1">
        <v>44827</v>
      </c>
      <c r="G218">
        <v>39</v>
      </c>
      <c r="H218" s="36" t="s">
        <v>63</v>
      </c>
      <c r="I218" s="48" t="s">
        <v>117</v>
      </c>
      <c r="J218" s="48" t="s">
        <v>115</v>
      </c>
      <c r="O218"/>
    </row>
    <row r="219" spans="1:15" x14ac:dyDescent="0.25">
      <c r="A219">
        <v>634</v>
      </c>
      <c r="B219">
        <v>11785</v>
      </c>
      <c r="C219" s="2">
        <v>54996.020000000004</v>
      </c>
      <c r="D219" s="2">
        <v>54996.02</v>
      </c>
      <c r="E219" s="2">
        <v>0</v>
      </c>
      <c r="F219" s="1">
        <v>44827</v>
      </c>
      <c r="G219">
        <v>39</v>
      </c>
      <c r="H219" s="36" t="s">
        <v>54</v>
      </c>
      <c r="I219" s="48" t="s">
        <v>106</v>
      </c>
      <c r="J219" s="48" t="s">
        <v>107</v>
      </c>
      <c r="O219"/>
    </row>
    <row r="220" spans="1:15" x14ac:dyDescent="0.25">
      <c r="A220">
        <v>635</v>
      </c>
      <c r="B220">
        <v>11791</v>
      </c>
      <c r="C220" s="2">
        <v>54966.92</v>
      </c>
      <c r="D220" s="2">
        <v>54764.62</v>
      </c>
      <c r="E220" s="2">
        <v>0</v>
      </c>
      <c r="F220" s="1">
        <v>44827</v>
      </c>
      <c r="G220">
        <v>39</v>
      </c>
      <c r="H220" s="36" t="s">
        <v>54</v>
      </c>
      <c r="I220" s="48" t="s">
        <v>106</v>
      </c>
      <c r="J220" s="48" t="s">
        <v>107</v>
      </c>
      <c r="O220"/>
    </row>
    <row r="221" spans="1:15" x14ac:dyDescent="0.25">
      <c r="A221">
        <v>636</v>
      </c>
      <c r="B221">
        <v>11786</v>
      </c>
      <c r="C221" s="2">
        <v>93087.83</v>
      </c>
      <c r="D221" s="2">
        <v>93087.83</v>
      </c>
      <c r="E221" s="2">
        <v>0</v>
      </c>
      <c r="F221" s="1">
        <v>44827</v>
      </c>
      <c r="G221">
        <v>39</v>
      </c>
      <c r="H221" s="36" t="s">
        <v>54</v>
      </c>
      <c r="I221" s="48" t="s">
        <v>106</v>
      </c>
      <c r="J221" s="48" t="s">
        <v>107</v>
      </c>
      <c r="O221"/>
    </row>
    <row r="222" spans="1:15" x14ac:dyDescent="0.25">
      <c r="A222">
        <v>637</v>
      </c>
      <c r="B222">
        <v>11787</v>
      </c>
      <c r="C222" s="2">
        <v>93087.83</v>
      </c>
      <c r="D222" s="2">
        <v>93087.83</v>
      </c>
      <c r="E222" s="2">
        <v>0</v>
      </c>
      <c r="F222" s="1">
        <v>44827</v>
      </c>
      <c r="G222">
        <v>39</v>
      </c>
      <c r="H222" s="36" t="s">
        <v>54</v>
      </c>
      <c r="I222" s="48" t="s">
        <v>106</v>
      </c>
      <c r="J222" s="48" t="s">
        <v>107</v>
      </c>
      <c r="O222"/>
    </row>
    <row r="223" spans="1:15" x14ac:dyDescent="0.25">
      <c r="A223">
        <v>691</v>
      </c>
      <c r="B223">
        <v>11800</v>
      </c>
      <c r="C223" s="2">
        <v>-16695.57</v>
      </c>
      <c r="D223" s="2">
        <v>16978.54</v>
      </c>
      <c r="E223" s="2">
        <v>16978.54</v>
      </c>
      <c r="F223" s="1">
        <v>44827</v>
      </c>
      <c r="G223">
        <v>39</v>
      </c>
      <c r="H223" s="36" t="s">
        <v>111</v>
      </c>
      <c r="I223" s="48" t="s">
        <v>120</v>
      </c>
      <c r="J223" s="48" t="s">
        <v>120</v>
      </c>
      <c r="O223"/>
    </row>
    <row r="224" spans="1:15" x14ac:dyDescent="0.25">
      <c r="A224">
        <v>692</v>
      </c>
      <c r="B224">
        <v>11800</v>
      </c>
      <c r="C224" s="2">
        <v>-7676.3</v>
      </c>
      <c r="D224" s="2">
        <v>7676.3</v>
      </c>
      <c r="E224" s="2">
        <v>7676.3</v>
      </c>
      <c r="F224" s="1">
        <v>44827</v>
      </c>
      <c r="G224">
        <v>39</v>
      </c>
      <c r="H224" s="36" t="s">
        <v>111</v>
      </c>
      <c r="I224" s="48" t="s">
        <v>120</v>
      </c>
      <c r="J224" s="48" t="s">
        <v>120</v>
      </c>
      <c r="O224"/>
    </row>
    <row r="225" spans="1:15" x14ac:dyDescent="0.25">
      <c r="A225">
        <v>693</v>
      </c>
      <c r="B225">
        <v>11800</v>
      </c>
      <c r="C225" s="2">
        <v>-126399.91</v>
      </c>
      <c r="D225" s="2">
        <v>126399.91</v>
      </c>
      <c r="E225" s="2">
        <v>126399.91</v>
      </c>
      <c r="F225" s="1">
        <v>44827</v>
      </c>
      <c r="G225">
        <v>39</v>
      </c>
      <c r="H225" s="36" t="s">
        <v>111</v>
      </c>
      <c r="I225" s="48" t="s">
        <v>120</v>
      </c>
      <c r="J225" s="48" t="s">
        <v>120</v>
      </c>
      <c r="O225"/>
    </row>
    <row r="226" spans="1:15" x14ac:dyDescent="0.25">
      <c r="A226">
        <v>694</v>
      </c>
      <c r="B226">
        <v>11800</v>
      </c>
      <c r="C226" s="2">
        <v>-16695.57</v>
      </c>
      <c r="D226" s="2">
        <v>16695.57</v>
      </c>
      <c r="E226" s="2">
        <v>16695.57</v>
      </c>
      <c r="F226" s="1">
        <v>44827</v>
      </c>
      <c r="G226">
        <v>39</v>
      </c>
      <c r="H226" s="36" t="s">
        <v>111</v>
      </c>
      <c r="I226" s="48" t="s">
        <v>120</v>
      </c>
      <c r="J226" s="48" t="s">
        <v>120</v>
      </c>
      <c r="O226"/>
    </row>
    <row r="227" spans="1:15" x14ac:dyDescent="0.25">
      <c r="A227">
        <v>697</v>
      </c>
      <c r="B227">
        <v>11790</v>
      </c>
      <c r="C227" s="2">
        <v>244488.35</v>
      </c>
      <c r="D227" s="2">
        <v>2304320</v>
      </c>
      <c r="E227" s="2">
        <v>494996.74</v>
      </c>
      <c r="F227" s="1">
        <v>44827</v>
      </c>
      <c r="G227">
        <v>39</v>
      </c>
      <c r="H227" s="36" t="s">
        <v>123</v>
      </c>
      <c r="I227" s="48" t="s">
        <v>117</v>
      </c>
      <c r="J227" s="48" t="s">
        <v>115</v>
      </c>
      <c r="O227"/>
    </row>
    <row r="228" spans="1:15" x14ac:dyDescent="0.25">
      <c r="A228">
        <v>642</v>
      </c>
      <c r="B228">
        <v>11783</v>
      </c>
      <c r="C228" s="2">
        <v>148273.79</v>
      </c>
      <c r="D228" s="2">
        <v>1477029.97</v>
      </c>
      <c r="E228" s="2">
        <v>0</v>
      </c>
      <c r="F228" s="1">
        <v>44826</v>
      </c>
      <c r="G228">
        <v>39</v>
      </c>
      <c r="H228" s="36" t="s">
        <v>96</v>
      </c>
      <c r="I228" s="48" t="s">
        <v>120</v>
      </c>
      <c r="J228" s="48" t="s">
        <v>120</v>
      </c>
      <c r="O228"/>
    </row>
    <row r="229" spans="1:15" x14ac:dyDescent="0.25">
      <c r="A229">
        <v>367</v>
      </c>
      <c r="B229">
        <v>11779</v>
      </c>
      <c r="C229" s="2">
        <v>-82347.87</v>
      </c>
      <c r="D229" s="2">
        <v>13896453.720000001</v>
      </c>
      <c r="E229" s="2">
        <v>4162190.1</v>
      </c>
      <c r="F229" s="1">
        <v>44825</v>
      </c>
      <c r="G229">
        <v>39</v>
      </c>
      <c r="H229" s="36" t="s">
        <v>64</v>
      </c>
      <c r="I229" s="48" t="s">
        <v>117</v>
      </c>
      <c r="J229" s="48" t="s">
        <v>115</v>
      </c>
      <c r="O229"/>
    </row>
    <row r="230" spans="1:15" x14ac:dyDescent="0.25">
      <c r="A230">
        <v>367</v>
      </c>
      <c r="B230">
        <v>11779</v>
      </c>
      <c r="C230" s="2">
        <v>-152860.99</v>
      </c>
      <c r="D230" s="2">
        <v>13896453.720000001</v>
      </c>
      <c r="E230" s="2">
        <v>4162190.1</v>
      </c>
      <c r="F230" s="1">
        <v>44825</v>
      </c>
      <c r="G230">
        <v>39</v>
      </c>
      <c r="H230" s="36" t="s">
        <v>64</v>
      </c>
      <c r="I230" s="48" t="s">
        <v>117</v>
      </c>
      <c r="J230" s="48" t="s">
        <v>115</v>
      </c>
      <c r="O230"/>
    </row>
    <row r="231" spans="1:15" x14ac:dyDescent="0.25">
      <c r="A231">
        <v>367</v>
      </c>
      <c r="B231">
        <v>11780</v>
      </c>
      <c r="C231" s="2">
        <v>-75040.850000000006</v>
      </c>
      <c r="D231" s="2">
        <v>13896453.720000001</v>
      </c>
      <c r="E231" s="2">
        <v>4162190.1</v>
      </c>
      <c r="F231" s="1">
        <v>44825</v>
      </c>
      <c r="G231">
        <v>39</v>
      </c>
      <c r="H231" s="36" t="s">
        <v>64</v>
      </c>
      <c r="I231" s="48" t="s">
        <v>117</v>
      </c>
      <c r="J231" s="48" t="s">
        <v>115</v>
      </c>
      <c r="O231"/>
    </row>
    <row r="232" spans="1:15" x14ac:dyDescent="0.25">
      <c r="A232">
        <v>367</v>
      </c>
      <c r="B232">
        <v>11780</v>
      </c>
      <c r="C232" s="2">
        <v>-41173.94</v>
      </c>
      <c r="D232" s="2">
        <v>13896453.720000001</v>
      </c>
      <c r="E232" s="2">
        <v>4162190.1</v>
      </c>
      <c r="F232" s="1">
        <v>44825</v>
      </c>
      <c r="G232">
        <v>39</v>
      </c>
      <c r="H232" s="36" t="s">
        <v>64</v>
      </c>
      <c r="I232" s="48" t="s">
        <v>117</v>
      </c>
      <c r="J232" s="48" t="s">
        <v>115</v>
      </c>
      <c r="O232"/>
    </row>
    <row r="233" spans="1:15" x14ac:dyDescent="0.25">
      <c r="A233">
        <v>367</v>
      </c>
      <c r="B233">
        <v>11778</v>
      </c>
      <c r="C233" s="2">
        <v>-152860.99</v>
      </c>
      <c r="D233" s="2">
        <v>13896453.720000001</v>
      </c>
      <c r="E233" s="2">
        <v>4162190.1</v>
      </c>
      <c r="F233" s="1">
        <v>44825</v>
      </c>
      <c r="G233">
        <v>39</v>
      </c>
      <c r="H233" s="36" t="s">
        <v>64</v>
      </c>
      <c r="I233" s="48" t="s">
        <v>117</v>
      </c>
      <c r="J233" s="48" t="s">
        <v>115</v>
      </c>
      <c r="O233"/>
    </row>
    <row r="234" spans="1:15" x14ac:dyDescent="0.25">
      <c r="A234">
        <v>367</v>
      </c>
      <c r="B234">
        <v>11778</v>
      </c>
      <c r="C234" s="2">
        <v>-82347.87</v>
      </c>
      <c r="D234" s="2">
        <v>13896453.720000001</v>
      </c>
      <c r="E234" s="2">
        <v>4162190.1</v>
      </c>
      <c r="F234" s="1">
        <v>44825</v>
      </c>
      <c r="G234">
        <v>39</v>
      </c>
      <c r="H234" s="36" t="s">
        <v>64</v>
      </c>
      <c r="I234" s="48" t="s">
        <v>117</v>
      </c>
      <c r="J234" s="48" t="s">
        <v>115</v>
      </c>
      <c r="O234"/>
    </row>
    <row r="235" spans="1:15" x14ac:dyDescent="0.25">
      <c r="A235">
        <v>586</v>
      </c>
      <c r="B235">
        <v>11773</v>
      </c>
      <c r="C235" s="2">
        <v>72285.040000000008</v>
      </c>
      <c r="D235" s="2">
        <v>75899.289999999994</v>
      </c>
      <c r="E235" s="2">
        <v>3614.25</v>
      </c>
      <c r="F235" s="1">
        <v>44824</v>
      </c>
      <c r="G235">
        <v>39</v>
      </c>
      <c r="H235" s="36" t="s">
        <v>54</v>
      </c>
      <c r="I235" s="48" t="s">
        <v>106</v>
      </c>
      <c r="J235" s="48" t="s">
        <v>107</v>
      </c>
      <c r="O235"/>
    </row>
    <row r="236" spans="1:15" x14ac:dyDescent="0.25">
      <c r="A236">
        <v>587</v>
      </c>
      <c r="B236">
        <v>11773</v>
      </c>
      <c r="C236" s="2">
        <v>72285.040000000008</v>
      </c>
      <c r="D236" s="2">
        <v>75899.289999999994</v>
      </c>
      <c r="E236" s="2">
        <v>3614.25</v>
      </c>
      <c r="F236" s="1">
        <v>44824</v>
      </c>
      <c r="G236">
        <v>39</v>
      </c>
      <c r="H236" s="36" t="s">
        <v>54</v>
      </c>
      <c r="I236" s="48" t="s">
        <v>106</v>
      </c>
      <c r="J236" s="48" t="s">
        <v>107</v>
      </c>
      <c r="O236"/>
    </row>
    <row r="237" spans="1:15" x14ac:dyDescent="0.25">
      <c r="A237">
        <v>589</v>
      </c>
      <c r="B237">
        <v>11773</v>
      </c>
      <c r="C237" s="2">
        <v>29802.74</v>
      </c>
      <c r="D237" s="2">
        <v>31292.880000000001</v>
      </c>
      <c r="E237" s="2">
        <v>1490.14</v>
      </c>
      <c r="F237" s="1">
        <v>44824</v>
      </c>
      <c r="G237">
        <v>39</v>
      </c>
      <c r="H237" s="36" t="s">
        <v>54</v>
      </c>
      <c r="I237" s="48" t="s">
        <v>106</v>
      </c>
      <c r="J237" s="48" t="s">
        <v>107</v>
      </c>
      <c r="O237"/>
    </row>
    <row r="238" spans="1:15" x14ac:dyDescent="0.25">
      <c r="A238">
        <v>590</v>
      </c>
      <c r="B238">
        <v>11773</v>
      </c>
      <c r="C238" s="2">
        <v>29802.74</v>
      </c>
      <c r="D238" s="2">
        <v>31292.880000000001</v>
      </c>
      <c r="E238" s="2">
        <v>1490.14</v>
      </c>
      <c r="F238" s="1">
        <v>44824</v>
      </c>
      <c r="G238">
        <v>39</v>
      </c>
      <c r="H238" s="36" t="s">
        <v>54</v>
      </c>
      <c r="I238" s="48" t="s">
        <v>106</v>
      </c>
      <c r="J238" s="48" t="s">
        <v>107</v>
      </c>
      <c r="O238"/>
    </row>
    <row r="239" spans="1:15" x14ac:dyDescent="0.25">
      <c r="A239">
        <v>591</v>
      </c>
      <c r="B239">
        <v>11773</v>
      </c>
      <c r="C239" s="2">
        <v>29802.74</v>
      </c>
      <c r="D239" s="2">
        <v>31292.880000000001</v>
      </c>
      <c r="E239" s="2">
        <v>1490.14</v>
      </c>
      <c r="F239" s="1">
        <v>44824</v>
      </c>
      <c r="G239">
        <v>39</v>
      </c>
      <c r="H239" s="36" t="s">
        <v>54</v>
      </c>
      <c r="I239" s="48" t="s">
        <v>106</v>
      </c>
      <c r="J239" s="48" t="s">
        <v>107</v>
      </c>
      <c r="O239"/>
    </row>
    <row r="240" spans="1:15" x14ac:dyDescent="0.25">
      <c r="A240">
        <v>605</v>
      </c>
      <c r="B240">
        <v>11773</v>
      </c>
      <c r="C240" s="2">
        <v>72285.040000000008</v>
      </c>
      <c r="D240" s="2">
        <v>75899.289999999994</v>
      </c>
      <c r="E240" s="2">
        <v>3614.25</v>
      </c>
      <c r="F240" s="1">
        <v>44824</v>
      </c>
      <c r="G240">
        <v>39</v>
      </c>
      <c r="H240" s="36" t="s">
        <v>54</v>
      </c>
      <c r="I240" s="48" t="s">
        <v>106</v>
      </c>
      <c r="J240" s="48" t="s">
        <v>107</v>
      </c>
      <c r="O240"/>
    </row>
    <row r="241" spans="1:15" x14ac:dyDescent="0.25">
      <c r="A241">
        <v>606</v>
      </c>
      <c r="B241">
        <v>11773</v>
      </c>
      <c r="C241" s="2">
        <v>72285.040000000008</v>
      </c>
      <c r="D241" s="2">
        <v>75899.289999999994</v>
      </c>
      <c r="E241" s="2">
        <v>3614.25</v>
      </c>
      <c r="F241" s="1">
        <v>44824</v>
      </c>
      <c r="G241">
        <v>39</v>
      </c>
      <c r="H241" s="36" t="s">
        <v>54</v>
      </c>
      <c r="I241" s="48" t="s">
        <v>106</v>
      </c>
      <c r="J241" s="48" t="s">
        <v>107</v>
      </c>
      <c r="O241"/>
    </row>
    <row r="242" spans="1:15" x14ac:dyDescent="0.25">
      <c r="A242">
        <v>691</v>
      </c>
      <c r="B242">
        <v>11774</v>
      </c>
      <c r="C242" s="2">
        <v>16695.57</v>
      </c>
      <c r="D242" s="2">
        <v>16978.54</v>
      </c>
      <c r="E242" s="2">
        <v>16978.54</v>
      </c>
      <c r="F242" s="1">
        <v>44824</v>
      </c>
      <c r="G242">
        <v>39</v>
      </c>
      <c r="H242" s="36" t="s">
        <v>111</v>
      </c>
      <c r="I242" s="48" t="s">
        <v>120</v>
      </c>
      <c r="J242" s="48" t="s">
        <v>120</v>
      </c>
      <c r="O242"/>
    </row>
    <row r="243" spans="1:15" x14ac:dyDescent="0.25">
      <c r="A243">
        <v>692</v>
      </c>
      <c r="B243">
        <v>11774</v>
      </c>
      <c r="C243" s="2">
        <v>7676.3</v>
      </c>
      <c r="D243" s="2">
        <v>7676.3</v>
      </c>
      <c r="E243" s="2">
        <v>7676.3</v>
      </c>
      <c r="F243" s="1">
        <v>44824</v>
      </c>
      <c r="G243">
        <v>39</v>
      </c>
      <c r="H243" s="36" t="s">
        <v>111</v>
      </c>
      <c r="I243" s="48" t="s">
        <v>120</v>
      </c>
      <c r="J243" s="48" t="s">
        <v>120</v>
      </c>
      <c r="O243"/>
    </row>
    <row r="244" spans="1:15" x14ac:dyDescent="0.25">
      <c r="A244">
        <v>693</v>
      </c>
      <c r="B244">
        <v>11774</v>
      </c>
      <c r="C244" s="2">
        <v>126399.91</v>
      </c>
      <c r="D244" s="2">
        <v>126399.91</v>
      </c>
      <c r="E244" s="2">
        <v>126399.91</v>
      </c>
      <c r="F244" s="1">
        <v>44824</v>
      </c>
      <c r="G244">
        <v>39</v>
      </c>
      <c r="H244" s="36" t="s">
        <v>111</v>
      </c>
      <c r="I244" s="48" t="s">
        <v>120</v>
      </c>
      <c r="J244" s="48" t="s">
        <v>120</v>
      </c>
      <c r="O244"/>
    </row>
    <row r="245" spans="1:15" x14ac:dyDescent="0.25">
      <c r="A245">
        <v>694</v>
      </c>
      <c r="B245">
        <v>11774</v>
      </c>
      <c r="C245" s="2">
        <v>16695.57</v>
      </c>
      <c r="D245" s="2">
        <v>16695.57</v>
      </c>
      <c r="E245" s="2">
        <v>16695.57</v>
      </c>
      <c r="F245" s="1">
        <v>44824</v>
      </c>
      <c r="G245">
        <v>39</v>
      </c>
      <c r="H245" s="36" t="s">
        <v>111</v>
      </c>
      <c r="I245" s="48" t="s">
        <v>120</v>
      </c>
      <c r="J245" s="48" t="s">
        <v>120</v>
      </c>
      <c r="O245"/>
    </row>
    <row r="246" spans="1:15" x14ac:dyDescent="0.25">
      <c r="A246">
        <v>763</v>
      </c>
      <c r="B246">
        <v>11775</v>
      </c>
      <c r="C246" s="2">
        <v>5426.7000000000007</v>
      </c>
      <c r="D246" s="2">
        <v>5191.83</v>
      </c>
      <c r="E246" s="2">
        <v>5191.83</v>
      </c>
      <c r="F246" s="1">
        <v>44824</v>
      </c>
      <c r="G246">
        <v>39</v>
      </c>
      <c r="H246" s="36" t="s">
        <v>112</v>
      </c>
      <c r="I246" s="48" t="s">
        <v>106</v>
      </c>
      <c r="J246" s="48" t="s">
        <v>107</v>
      </c>
      <c r="O246"/>
    </row>
    <row r="247" spans="1:15" x14ac:dyDescent="0.25">
      <c r="A247">
        <v>392</v>
      </c>
      <c r="B247">
        <v>11770</v>
      </c>
      <c r="C247" s="2">
        <v>474934</v>
      </c>
      <c r="D247" s="2">
        <v>19885000</v>
      </c>
      <c r="E247" s="2">
        <v>17985264</v>
      </c>
      <c r="F247" s="1">
        <v>44820</v>
      </c>
      <c r="G247">
        <v>38</v>
      </c>
      <c r="H247" s="36" t="s">
        <v>119</v>
      </c>
      <c r="I247" s="48" t="s">
        <v>113</v>
      </c>
      <c r="J247" s="48" t="s">
        <v>120</v>
      </c>
      <c r="O247"/>
    </row>
    <row r="248" spans="1:15" x14ac:dyDescent="0.25">
      <c r="A248">
        <v>577</v>
      </c>
      <c r="B248">
        <v>11769</v>
      </c>
      <c r="C248" s="2">
        <v>46079.54</v>
      </c>
      <c r="D248" s="2">
        <v>24162.47</v>
      </c>
      <c r="E248" s="2">
        <v>0</v>
      </c>
      <c r="F248" s="1">
        <v>44820</v>
      </c>
      <c r="G248">
        <v>38</v>
      </c>
      <c r="H248" s="36" t="s">
        <v>54</v>
      </c>
      <c r="I248" s="48" t="s">
        <v>106</v>
      </c>
      <c r="J248" s="48" t="s">
        <v>107</v>
      </c>
      <c r="O248"/>
    </row>
    <row r="249" spans="1:15" x14ac:dyDescent="0.25">
      <c r="A249">
        <v>578</v>
      </c>
      <c r="B249">
        <v>11769</v>
      </c>
      <c r="C249" s="2">
        <v>46079.54</v>
      </c>
      <c r="D249" s="2">
        <v>24162.47</v>
      </c>
      <c r="E249" s="2">
        <v>0</v>
      </c>
      <c r="F249" s="1">
        <v>44820</v>
      </c>
      <c r="G249">
        <v>38</v>
      </c>
      <c r="H249" s="36" t="s">
        <v>54</v>
      </c>
      <c r="I249" s="48" t="s">
        <v>106</v>
      </c>
      <c r="J249" s="48" t="s">
        <v>107</v>
      </c>
      <c r="O249"/>
    </row>
    <row r="250" spans="1:15" x14ac:dyDescent="0.25">
      <c r="A250">
        <v>367</v>
      </c>
      <c r="B250">
        <v>11759</v>
      </c>
      <c r="C250" s="2">
        <v>152860.99</v>
      </c>
      <c r="D250" s="2">
        <v>13896453.720000001</v>
      </c>
      <c r="E250" s="2">
        <v>4162190.1</v>
      </c>
      <c r="F250" s="1">
        <v>44817</v>
      </c>
      <c r="G250">
        <v>38</v>
      </c>
      <c r="H250" s="36" t="s">
        <v>64</v>
      </c>
      <c r="I250" s="48" t="s">
        <v>117</v>
      </c>
      <c r="J250" s="48" t="s">
        <v>115</v>
      </c>
      <c r="O250"/>
    </row>
    <row r="251" spans="1:15" x14ac:dyDescent="0.25">
      <c r="A251">
        <v>369</v>
      </c>
      <c r="B251">
        <v>11759</v>
      </c>
      <c r="C251" s="2">
        <v>82347.87</v>
      </c>
      <c r="D251" s="2">
        <v>4076627.31</v>
      </c>
      <c r="E251" s="2">
        <v>46881.22</v>
      </c>
      <c r="F251" s="1">
        <v>44817</v>
      </c>
      <c r="G251">
        <v>38</v>
      </c>
      <c r="H251" s="36" t="s">
        <v>64</v>
      </c>
      <c r="I251" s="48" t="s">
        <v>117</v>
      </c>
      <c r="J251" s="48" t="s">
        <v>115</v>
      </c>
      <c r="O251"/>
    </row>
    <row r="252" spans="1:15" x14ac:dyDescent="0.25">
      <c r="A252">
        <v>531</v>
      </c>
      <c r="B252">
        <v>11760</v>
      </c>
      <c r="C252" s="2">
        <v>-737284.3</v>
      </c>
      <c r="D252" s="2">
        <v>734699.29</v>
      </c>
      <c r="E252" s="2">
        <v>1053800.97</v>
      </c>
      <c r="F252" s="1">
        <v>44817</v>
      </c>
      <c r="G252">
        <v>38</v>
      </c>
      <c r="H252" s="36" t="s">
        <v>54</v>
      </c>
      <c r="I252" s="48" t="s">
        <v>106</v>
      </c>
      <c r="J252" s="48" t="s">
        <v>107</v>
      </c>
      <c r="O252"/>
    </row>
    <row r="253" spans="1:15" x14ac:dyDescent="0.25">
      <c r="A253">
        <v>531</v>
      </c>
      <c r="B253">
        <v>11760</v>
      </c>
      <c r="C253" s="2">
        <v>-6777.66</v>
      </c>
      <c r="D253" s="2">
        <v>734699.29</v>
      </c>
      <c r="E253" s="2">
        <v>1053800.97</v>
      </c>
      <c r="F253" s="1">
        <v>44817</v>
      </c>
      <c r="G253">
        <v>38</v>
      </c>
      <c r="H253" s="36" t="s">
        <v>54</v>
      </c>
      <c r="I253" s="48" t="s">
        <v>106</v>
      </c>
      <c r="J253" s="48" t="s">
        <v>107</v>
      </c>
      <c r="O253"/>
    </row>
    <row r="254" spans="1:15" x14ac:dyDescent="0.25">
      <c r="A254">
        <v>531</v>
      </c>
      <c r="B254">
        <v>11760</v>
      </c>
      <c r="C254" s="2">
        <v>-34008.559999999998</v>
      </c>
      <c r="D254" s="2">
        <v>734699.29</v>
      </c>
      <c r="E254" s="2">
        <v>1053800.97</v>
      </c>
      <c r="F254" s="1">
        <v>44817</v>
      </c>
      <c r="G254">
        <v>38</v>
      </c>
      <c r="H254" s="36" t="s">
        <v>54</v>
      </c>
      <c r="I254" s="48" t="s">
        <v>106</v>
      </c>
      <c r="J254" s="48" t="s">
        <v>107</v>
      </c>
      <c r="O254"/>
    </row>
    <row r="255" spans="1:15" x14ac:dyDescent="0.25">
      <c r="A255">
        <v>531</v>
      </c>
      <c r="B255">
        <v>11760</v>
      </c>
      <c r="C255" s="2">
        <v>-139157.73000000001</v>
      </c>
      <c r="D255" s="2">
        <v>734699.29</v>
      </c>
      <c r="E255" s="2">
        <v>1053800.97</v>
      </c>
      <c r="F255" s="1">
        <v>44817</v>
      </c>
      <c r="G255">
        <v>38</v>
      </c>
      <c r="H255" s="36" t="s">
        <v>54</v>
      </c>
      <c r="I255" s="48" t="s">
        <v>106</v>
      </c>
      <c r="J255" s="48" t="s">
        <v>107</v>
      </c>
      <c r="O255"/>
    </row>
    <row r="256" spans="1:15" x14ac:dyDescent="0.25">
      <c r="A256">
        <v>531</v>
      </c>
      <c r="B256">
        <v>11760</v>
      </c>
      <c r="C256" s="2">
        <v>-139157.73000000001</v>
      </c>
      <c r="D256" s="2">
        <v>734699.29</v>
      </c>
      <c r="E256" s="2">
        <v>1053800.97</v>
      </c>
      <c r="F256" s="1">
        <v>44817</v>
      </c>
      <c r="G256">
        <v>38</v>
      </c>
      <c r="H256" s="36" t="s">
        <v>54</v>
      </c>
      <c r="I256" s="48" t="s">
        <v>106</v>
      </c>
      <c r="J256" s="48" t="s">
        <v>107</v>
      </c>
      <c r="O256"/>
    </row>
    <row r="257" spans="1:15" x14ac:dyDescent="0.25">
      <c r="A257">
        <v>705</v>
      </c>
      <c r="B257">
        <v>11765</v>
      </c>
      <c r="C257" s="2">
        <v>31912.84</v>
      </c>
      <c r="D257" s="2">
        <v>31912.84</v>
      </c>
      <c r="E257" s="2">
        <v>0</v>
      </c>
      <c r="F257" s="1">
        <v>44817</v>
      </c>
      <c r="G257">
        <v>38</v>
      </c>
      <c r="H257" s="36" t="s">
        <v>54</v>
      </c>
      <c r="I257" s="48" t="s">
        <v>106</v>
      </c>
      <c r="J257" s="48" t="s">
        <v>107</v>
      </c>
      <c r="O257"/>
    </row>
    <row r="258" spans="1:15" x14ac:dyDescent="0.25">
      <c r="A258">
        <v>706</v>
      </c>
      <c r="B258">
        <v>11765</v>
      </c>
      <c r="C258" s="2">
        <v>31912.84</v>
      </c>
      <c r="D258" s="2">
        <v>31912.84</v>
      </c>
      <c r="E258" s="2">
        <v>0</v>
      </c>
      <c r="F258" s="1">
        <v>44817</v>
      </c>
      <c r="G258">
        <v>38</v>
      </c>
      <c r="H258" s="36" t="s">
        <v>54</v>
      </c>
      <c r="I258" s="48" t="s">
        <v>106</v>
      </c>
      <c r="J258" s="48" t="s">
        <v>107</v>
      </c>
      <c r="O258"/>
    </row>
    <row r="259" spans="1:15" x14ac:dyDescent="0.25">
      <c r="A259">
        <v>608</v>
      </c>
      <c r="B259">
        <v>336</v>
      </c>
      <c r="C259" s="2">
        <v>1220342.94</v>
      </c>
      <c r="D259" s="2">
        <v>3318540</v>
      </c>
      <c r="E259" s="2">
        <v>0</v>
      </c>
      <c r="F259" s="1">
        <v>44816</v>
      </c>
      <c r="G259">
        <v>38</v>
      </c>
      <c r="H259" s="36" t="s">
        <v>61</v>
      </c>
      <c r="I259" s="48" t="s">
        <v>120</v>
      </c>
      <c r="J259" s="48" t="s">
        <v>120</v>
      </c>
      <c r="O259"/>
    </row>
    <row r="260" spans="1:15" x14ac:dyDescent="0.25">
      <c r="A260">
        <v>592</v>
      </c>
      <c r="B260">
        <v>11752</v>
      </c>
      <c r="C260" s="2">
        <v>75899.290000000008</v>
      </c>
      <c r="D260" s="2">
        <v>75899.289999999994</v>
      </c>
      <c r="E260" s="2">
        <v>0</v>
      </c>
      <c r="F260" s="1">
        <v>44810</v>
      </c>
      <c r="G260">
        <v>37</v>
      </c>
      <c r="H260" s="36" t="s">
        <v>54</v>
      </c>
      <c r="I260" s="48" t="s">
        <v>106</v>
      </c>
      <c r="J260" s="48" t="s">
        <v>107</v>
      </c>
      <c r="O260"/>
    </row>
    <row r="261" spans="1:15" x14ac:dyDescent="0.25">
      <c r="A261">
        <v>593</v>
      </c>
      <c r="B261">
        <v>11752</v>
      </c>
      <c r="C261" s="2">
        <v>31292.880000000001</v>
      </c>
      <c r="D261" s="2">
        <v>31292.880000000001</v>
      </c>
      <c r="E261" s="2">
        <v>0</v>
      </c>
      <c r="F261" s="1">
        <v>44810</v>
      </c>
      <c r="G261">
        <v>37</v>
      </c>
      <c r="H261" s="36" t="s">
        <v>54</v>
      </c>
      <c r="I261" s="48" t="s">
        <v>106</v>
      </c>
      <c r="J261" s="48" t="s">
        <v>107</v>
      </c>
      <c r="O261"/>
    </row>
    <row r="262" spans="1:15" x14ac:dyDescent="0.25">
      <c r="A262">
        <v>759</v>
      </c>
      <c r="B262">
        <v>335</v>
      </c>
      <c r="C262" s="2">
        <v>9368.89</v>
      </c>
      <c r="D262" s="2">
        <v>18737.78</v>
      </c>
      <c r="E262" s="2">
        <v>0</v>
      </c>
      <c r="F262" s="1">
        <v>44810</v>
      </c>
      <c r="G262">
        <v>37</v>
      </c>
      <c r="H262" s="36" t="s">
        <v>124</v>
      </c>
      <c r="I262" s="48" t="s">
        <v>107</v>
      </c>
      <c r="J262" s="48" t="s">
        <v>107</v>
      </c>
      <c r="O262"/>
    </row>
    <row r="263" spans="1:15" x14ac:dyDescent="0.25">
      <c r="A263">
        <v>367</v>
      </c>
      <c r="B263">
        <v>11747</v>
      </c>
      <c r="C263" s="2">
        <v>152860.99</v>
      </c>
      <c r="D263" s="2">
        <v>13896453.720000001</v>
      </c>
      <c r="E263" s="2">
        <v>4162190.1</v>
      </c>
      <c r="F263" s="1">
        <v>44809</v>
      </c>
      <c r="G263">
        <v>37</v>
      </c>
      <c r="H263" s="36" t="s">
        <v>64</v>
      </c>
      <c r="I263" s="48" t="s">
        <v>117</v>
      </c>
      <c r="J263" s="48" t="s">
        <v>115</v>
      </c>
      <c r="O263"/>
    </row>
    <row r="264" spans="1:15" x14ac:dyDescent="0.25">
      <c r="A264">
        <v>367</v>
      </c>
      <c r="B264">
        <v>11749</v>
      </c>
      <c r="C264" s="2">
        <v>152860.99</v>
      </c>
      <c r="D264" s="2">
        <v>13896453.720000001</v>
      </c>
      <c r="E264" s="2">
        <v>4162190.1</v>
      </c>
      <c r="F264" s="1">
        <v>44809</v>
      </c>
      <c r="G264">
        <v>37</v>
      </c>
      <c r="H264" s="36" t="s">
        <v>64</v>
      </c>
      <c r="I264" s="48" t="s">
        <v>117</v>
      </c>
      <c r="J264" s="48" t="s">
        <v>115</v>
      </c>
      <c r="O264"/>
    </row>
    <row r="265" spans="1:15" x14ac:dyDescent="0.25">
      <c r="A265">
        <v>367</v>
      </c>
      <c r="B265">
        <v>11750</v>
      </c>
      <c r="C265" s="2">
        <v>75040.850000000006</v>
      </c>
      <c r="D265" s="2">
        <v>13896453.720000001</v>
      </c>
      <c r="E265" s="2">
        <v>4162190.1</v>
      </c>
      <c r="F265" s="1">
        <v>44809</v>
      </c>
      <c r="G265">
        <v>37</v>
      </c>
      <c r="H265" s="36" t="s">
        <v>64</v>
      </c>
      <c r="I265" s="48" t="s">
        <v>117</v>
      </c>
      <c r="J265" s="48" t="s">
        <v>115</v>
      </c>
      <c r="O265"/>
    </row>
    <row r="266" spans="1:15" x14ac:dyDescent="0.25">
      <c r="A266">
        <v>369</v>
      </c>
      <c r="B266">
        <v>11747</v>
      </c>
      <c r="C266" s="2">
        <v>82347.87</v>
      </c>
      <c r="D266" s="2">
        <v>4076627.31</v>
      </c>
      <c r="E266" s="2">
        <v>46881.22</v>
      </c>
      <c r="F266" s="1">
        <v>44809</v>
      </c>
      <c r="G266">
        <v>37</v>
      </c>
      <c r="H266" s="36" t="s">
        <v>64</v>
      </c>
      <c r="I266" s="48" t="s">
        <v>117</v>
      </c>
      <c r="J266" s="48" t="s">
        <v>115</v>
      </c>
      <c r="O266"/>
    </row>
    <row r="267" spans="1:15" x14ac:dyDescent="0.25">
      <c r="A267">
        <v>369</v>
      </c>
      <c r="B267">
        <v>11749</v>
      </c>
      <c r="C267" s="2">
        <v>82347.87</v>
      </c>
      <c r="D267" s="2">
        <v>4076627.31</v>
      </c>
      <c r="E267" s="2">
        <v>46881.22</v>
      </c>
      <c r="F267" s="1">
        <v>44809</v>
      </c>
      <c r="G267">
        <v>37</v>
      </c>
      <c r="H267" s="36" t="s">
        <v>64</v>
      </c>
      <c r="I267" s="48" t="s">
        <v>117</v>
      </c>
      <c r="J267" s="48" t="s">
        <v>115</v>
      </c>
      <c r="O267"/>
    </row>
    <row r="268" spans="1:15" x14ac:dyDescent="0.25">
      <c r="A268">
        <v>369</v>
      </c>
      <c r="B268">
        <v>11750</v>
      </c>
      <c r="C268" s="2">
        <v>41173.94</v>
      </c>
      <c r="D268" s="2">
        <v>4076627.31</v>
      </c>
      <c r="E268" s="2">
        <v>46881.22</v>
      </c>
      <c r="F268" s="1">
        <v>44809</v>
      </c>
      <c r="G268">
        <v>37</v>
      </c>
      <c r="H268" s="36" t="s">
        <v>64</v>
      </c>
      <c r="I268" s="48" t="s">
        <v>117</v>
      </c>
      <c r="J268" s="48" t="s">
        <v>115</v>
      </c>
      <c r="O268"/>
    </row>
    <row r="269" spans="1:15" x14ac:dyDescent="0.25">
      <c r="A269">
        <v>532</v>
      </c>
      <c r="B269">
        <v>11744</v>
      </c>
      <c r="C269" s="2">
        <v>734699.29</v>
      </c>
      <c r="D269" s="2">
        <v>734699.29</v>
      </c>
      <c r="E269" s="2">
        <v>0</v>
      </c>
      <c r="F269" s="1">
        <v>44806</v>
      </c>
      <c r="G269">
        <v>36</v>
      </c>
      <c r="H269" s="36" t="s">
        <v>54</v>
      </c>
      <c r="I269" s="48" t="s">
        <v>106</v>
      </c>
      <c r="J269" s="48" t="s">
        <v>107</v>
      </c>
      <c r="O269"/>
    </row>
    <row r="270" spans="1:15" x14ac:dyDescent="0.25">
      <c r="A270">
        <v>541</v>
      </c>
      <c r="B270">
        <v>11744</v>
      </c>
      <c r="C270" s="2">
        <v>6777.66</v>
      </c>
      <c r="D270" s="2">
        <v>6777.66</v>
      </c>
      <c r="E270" s="2">
        <v>0</v>
      </c>
      <c r="F270" s="1">
        <v>44806</v>
      </c>
      <c r="G270">
        <v>36</v>
      </c>
      <c r="H270" s="36" t="s">
        <v>54</v>
      </c>
      <c r="I270" s="48" t="s">
        <v>106</v>
      </c>
      <c r="J270" s="48" t="s">
        <v>107</v>
      </c>
      <c r="O270"/>
    </row>
    <row r="271" spans="1:15" x14ac:dyDescent="0.25">
      <c r="A271">
        <v>552</v>
      </c>
      <c r="B271">
        <v>11745</v>
      </c>
      <c r="C271" s="2">
        <v>34008.559999999998</v>
      </c>
      <c r="D271" s="2">
        <v>34008.559999999998</v>
      </c>
      <c r="E271" s="2">
        <v>0</v>
      </c>
      <c r="F271" s="1">
        <v>44806</v>
      </c>
      <c r="G271">
        <v>36</v>
      </c>
      <c r="H271" s="36" t="s">
        <v>54</v>
      </c>
      <c r="I271" s="48" t="s">
        <v>106</v>
      </c>
      <c r="J271" s="48" t="s">
        <v>107</v>
      </c>
      <c r="O271"/>
    </row>
    <row r="272" spans="1:15" x14ac:dyDescent="0.25">
      <c r="A272">
        <v>531</v>
      </c>
      <c r="B272">
        <v>11733</v>
      </c>
      <c r="C272" s="2">
        <v>737284.3</v>
      </c>
      <c r="D272" s="2">
        <v>734699.29</v>
      </c>
      <c r="E272" s="2">
        <v>1053800.97</v>
      </c>
      <c r="F272" s="1">
        <v>44804</v>
      </c>
      <c r="G272">
        <v>36</v>
      </c>
      <c r="H272" s="36" t="s">
        <v>54</v>
      </c>
      <c r="I272" s="48" t="s">
        <v>106</v>
      </c>
      <c r="J272" s="48" t="s">
        <v>107</v>
      </c>
      <c r="O272"/>
    </row>
    <row r="273" spans="1:15" x14ac:dyDescent="0.25">
      <c r="A273">
        <v>544</v>
      </c>
      <c r="B273">
        <v>11733</v>
      </c>
      <c r="C273" s="2">
        <v>6777.66</v>
      </c>
      <c r="D273" s="2">
        <v>6777.66</v>
      </c>
      <c r="E273" s="2">
        <v>0</v>
      </c>
      <c r="F273" s="1">
        <v>44804</v>
      </c>
      <c r="G273">
        <v>36</v>
      </c>
      <c r="H273" s="36" t="s">
        <v>54</v>
      </c>
      <c r="I273" s="48" t="s">
        <v>106</v>
      </c>
      <c r="J273" s="48" t="s">
        <v>107</v>
      </c>
      <c r="O273"/>
    </row>
    <row r="274" spans="1:15" x14ac:dyDescent="0.25">
      <c r="A274">
        <v>553</v>
      </c>
      <c r="B274">
        <v>11733</v>
      </c>
      <c r="C274" s="2">
        <v>34008.559999999998</v>
      </c>
      <c r="D274" s="2">
        <v>34008.559999999998</v>
      </c>
      <c r="E274" s="2">
        <v>0</v>
      </c>
      <c r="F274" s="1">
        <v>44804</v>
      </c>
      <c r="G274">
        <v>36</v>
      </c>
      <c r="H274" s="36" t="s">
        <v>54</v>
      </c>
      <c r="I274" s="48" t="s">
        <v>106</v>
      </c>
      <c r="J274" s="48" t="s">
        <v>107</v>
      </c>
      <c r="O274"/>
    </row>
    <row r="275" spans="1:15" x14ac:dyDescent="0.25">
      <c r="A275">
        <v>638</v>
      </c>
      <c r="B275">
        <v>11733</v>
      </c>
      <c r="C275" s="2">
        <v>139157.73000000001</v>
      </c>
      <c r="D275" s="2">
        <v>139157.73000000001</v>
      </c>
      <c r="E275" s="2">
        <v>0</v>
      </c>
      <c r="F275" s="1">
        <v>44804</v>
      </c>
      <c r="G275">
        <v>36</v>
      </c>
      <c r="H275" s="36" t="s">
        <v>54</v>
      </c>
      <c r="I275" s="48" t="s">
        <v>106</v>
      </c>
      <c r="J275" s="48" t="s">
        <v>107</v>
      </c>
      <c r="O275"/>
    </row>
    <row r="276" spans="1:15" x14ac:dyDescent="0.25">
      <c r="A276">
        <v>640</v>
      </c>
      <c r="B276">
        <v>11733</v>
      </c>
      <c r="C276" s="2">
        <v>139157.73000000001</v>
      </c>
      <c r="D276" s="2">
        <v>139157.73000000001</v>
      </c>
      <c r="E276" s="2">
        <v>0</v>
      </c>
      <c r="F276" s="1">
        <v>44804</v>
      </c>
      <c r="G276">
        <v>36</v>
      </c>
      <c r="H276" s="36" t="s">
        <v>54</v>
      </c>
      <c r="I276" s="48" t="s">
        <v>106</v>
      </c>
      <c r="J276" s="48" t="s">
        <v>107</v>
      </c>
      <c r="O276"/>
    </row>
    <row r="277" spans="1:15" x14ac:dyDescent="0.25">
      <c r="A277">
        <v>457</v>
      </c>
      <c r="B277">
        <v>11730</v>
      </c>
      <c r="C277" s="2">
        <v>50799</v>
      </c>
      <c r="D277" s="2">
        <v>51660</v>
      </c>
      <c r="E277" s="2">
        <v>861</v>
      </c>
      <c r="F277" s="1">
        <v>44799</v>
      </c>
      <c r="G277">
        <v>35</v>
      </c>
      <c r="H277" s="36" t="s">
        <v>56</v>
      </c>
      <c r="I277" s="48" t="s">
        <v>106</v>
      </c>
      <c r="J277" s="48" t="s">
        <v>107</v>
      </c>
      <c r="O277"/>
    </row>
    <row r="278" spans="1:15" x14ac:dyDescent="0.25">
      <c r="A278">
        <v>462</v>
      </c>
      <c r="B278">
        <v>11730</v>
      </c>
      <c r="C278" s="2">
        <v>50799</v>
      </c>
      <c r="D278" s="2">
        <v>51660</v>
      </c>
      <c r="E278" s="2">
        <v>861</v>
      </c>
      <c r="F278" s="1">
        <v>44799</v>
      </c>
      <c r="G278">
        <v>35</v>
      </c>
      <c r="H278" s="36" t="s">
        <v>56</v>
      </c>
      <c r="I278" s="48" t="s">
        <v>106</v>
      </c>
      <c r="J278" s="48" t="s">
        <v>107</v>
      </c>
      <c r="O278"/>
    </row>
    <row r="279" spans="1:15" x14ac:dyDescent="0.25">
      <c r="A279">
        <v>463</v>
      </c>
      <c r="B279">
        <v>11730</v>
      </c>
      <c r="C279" s="2">
        <v>50799</v>
      </c>
      <c r="D279" s="2">
        <v>51660</v>
      </c>
      <c r="E279" s="2">
        <v>861</v>
      </c>
      <c r="F279" s="1">
        <v>44799</v>
      </c>
      <c r="G279">
        <v>35</v>
      </c>
      <c r="H279" s="36" t="s">
        <v>56</v>
      </c>
      <c r="I279" s="48" t="s">
        <v>106</v>
      </c>
      <c r="J279" s="48" t="s">
        <v>107</v>
      </c>
      <c r="O279"/>
    </row>
    <row r="280" spans="1:15" x14ac:dyDescent="0.25">
      <c r="A280">
        <v>465</v>
      </c>
      <c r="B280">
        <v>11730</v>
      </c>
      <c r="C280" s="2">
        <v>50799</v>
      </c>
      <c r="D280" s="2">
        <v>51660</v>
      </c>
      <c r="E280" s="2">
        <v>861</v>
      </c>
      <c r="F280" s="1">
        <v>44799</v>
      </c>
      <c r="G280">
        <v>35</v>
      </c>
      <c r="H280" s="36" t="s">
        <v>56</v>
      </c>
      <c r="I280" s="48" t="s">
        <v>106</v>
      </c>
      <c r="J280" s="48" t="s">
        <v>107</v>
      </c>
      <c r="O280"/>
    </row>
    <row r="281" spans="1:15" x14ac:dyDescent="0.25">
      <c r="A281">
        <v>468</v>
      </c>
      <c r="B281">
        <v>11730</v>
      </c>
      <c r="C281" s="2">
        <v>50799</v>
      </c>
      <c r="D281" s="2">
        <v>51660</v>
      </c>
      <c r="E281" s="2">
        <v>861</v>
      </c>
      <c r="F281" s="1">
        <v>44799</v>
      </c>
      <c r="G281">
        <v>35</v>
      </c>
      <c r="H281" s="36" t="s">
        <v>56</v>
      </c>
      <c r="I281" s="48" t="s">
        <v>106</v>
      </c>
      <c r="J281" s="48" t="s">
        <v>107</v>
      </c>
      <c r="O281"/>
    </row>
    <row r="282" spans="1:15" x14ac:dyDescent="0.25">
      <c r="A282">
        <v>526</v>
      </c>
      <c r="B282">
        <v>11730</v>
      </c>
      <c r="C282" s="2">
        <v>50799</v>
      </c>
      <c r="D282" s="2">
        <v>51660</v>
      </c>
      <c r="E282" s="2">
        <v>861</v>
      </c>
      <c r="F282" s="1">
        <v>44799</v>
      </c>
      <c r="G282">
        <v>35</v>
      </c>
      <c r="H282" s="36" t="s">
        <v>56</v>
      </c>
      <c r="I282" s="48" t="s">
        <v>106</v>
      </c>
      <c r="J282" s="48" t="s">
        <v>107</v>
      </c>
      <c r="O282"/>
    </row>
    <row r="283" spans="1:15" x14ac:dyDescent="0.25">
      <c r="A283">
        <v>528</v>
      </c>
      <c r="B283">
        <v>11730</v>
      </c>
      <c r="C283" s="2">
        <v>50799</v>
      </c>
      <c r="D283" s="2">
        <v>51660</v>
      </c>
      <c r="E283" s="2">
        <v>861</v>
      </c>
      <c r="F283" s="1">
        <v>44799</v>
      </c>
      <c r="G283">
        <v>35</v>
      </c>
      <c r="H283" s="36" t="s">
        <v>56</v>
      </c>
      <c r="I283" s="48" t="s">
        <v>106</v>
      </c>
      <c r="J283" s="48" t="s">
        <v>107</v>
      </c>
      <c r="O283"/>
    </row>
    <row r="284" spans="1:15" x14ac:dyDescent="0.25">
      <c r="A284">
        <v>335</v>
      </c>
      <c r="B284">
        <v>11720</v>
      </c>
      <c r="C284" s="2">
        <v>624625.80000000005</v>
      </c>
      <c r="D284" s="2">
        <v>1046991.81</v>
      </c>
      <c r="E284" s="2">
        <v>422366.01</v>
      </c>
      <c r="F284" s="1">
        <v>44797</v>
      </c>
      <c r="G284">
        <v>35</v>
      </c>
      <c r="H284" s="36" t="s">
        <v>59</v>
      </c>
      <c r="I284" s="48" t="s">
        <v>113</v>
      </c>
      <c r="J284" s="48"/>
      <c r="O284"/>
    </row>
    <row r="285" spans="1:15" x14ac:dyDescent="0.25">
      <c r="A285">
        <v>372</v>
      </c>
      <c r="B285">
        <v>11722</v>
      </c>
      <c r="C285" s="2">
        <v>1097183.8400000001</v>
      </c>
      <c r="D285" s="2">
        <v>7680286.8799999999</v>
      </c>
      <c r="E285" s="2">
        <v>0</v>
      </c>
      <c r="F285" s="1">
        <v>44797</v>
      </c>
      <c r="G285">
        <v>35</v>
      </c>
      <c r="H285" s="36" t="s">
        <v>98</v>
      </c>
      <c r="I285" s="48"/>
      <c r="J285" s="48"/>
      <c r="O285"/>
    </row>
    <row r="286" spans="1:15" x14ac:dyDescent="0.25">
      <c r="A286">
        <v>372</v>
      </c>
      <c r="B286">
        <v>11723</v>
      </c>
      <c r="C286" s="2">
        <v>1097183.8400000001</v>
      </c>
      <c r="D286" s="2">
        <v>7680286.8799999999</v>
      </c>
      <c r="E286" s="2">
        <v>0</v>
      </c>
      <c r="F286" s="1">
        <v>44797</v>
      </c>
      <c r="G286">
        <v>35</v>
      </c>
      <c r="H286" s="36" t="s">
        <v>98</v>
      </c>
      <c r="I286" s="48"/>
      <c r="J286" s="48"/>
      <c r="O286"/>
    </row>
    <row r="287" spans="1:15" x14ac:dyDescent="0.25">
      <c r="A287">
        <v>530</v>
      </c>
      <c r="B287">
        <v>11724</v>
      </c>
      <c r="C287" s="2">
        <v>734699.29</v>
      </c>
      <c r="D287" s="2">
        <v>734699.29</v>
      </c>
      <c r="E287" s="2">
        <v>0</v>
      </c>
      <c r="F287" s="1">
        <v>44797</v>
      </c>
      <c r="G287">
        <v>35</v>
      </c>
      <c r="H287" s="36" t="s">
        <v>54</v>
      </c>
      <c r="I287" s="48" t="s">
        <v>106</v>
      </c>
      <c r="J287" s="48" t="s">
        <v>107</v>
      </c>
      <c r="O287"/>
    </row>
    <row r="288" spans="1:15" x14ac:dyDescent="0.25">
      <c r="A288">
        <v>545</v>
      </c>
      <c r="B288">
        <v>11724</v>
      </c>
      <c r="C288" s="2">
        <v>6777.66</v>
      </c>
      <c r="D288" s="2">
        <v>6777.66</v>
      </c>
      <c r="E288" s="2">
        <v>0</v>
      </c>
      <c r="F288" s="1">
        <v>44797</v>
      </c>
      <c r="G288">
        <v>35</v>
      </c>
      <c r="H288" s="36" t="s">
        <v>54</v>
      </c>
      <c r="I288" s="48" t="s">
        <v>106</v>
      </c>
      <c r="J288" s="48" t="s">
        <v>107</v>
      </c>
      <c r="O288"/>
    </row>
    <row r="289" spans="1:15" x14ac:dyDescent="0.25">
      <c r="A289">
        <v>551</v>
      </c>
      <c r="B289">
        <v>11725</v>
      </c>
      <c r="C289" s="2">
        <v>34008.559999999998</v>
      </c>
      <c r="D289" s="2">
        <v>34008.559999999998</v>
      </c>
      <c r="E289" s="2">
        <v>0</v>
      </c>
      <c r="F289" s="1">
        <v>44797</v>
      </c>
      <c r="G289">
        <v>35</v>
      </c>
      <c r="H289" s="36" t="s">
        <v>54</v>
      </c>
      <c r="I289" s="48" t="s">
        <v>106</v>
      </c>
      <c r="J289" s="48" t="s">
        <v>107</v>
      </c>
      <c r="O289"/>
    </row>
    <row r="290" spans="1:15" x14ac:dyDescent="0.25">
      <c r="A290">
        <v>372</v>
      </c>
      <c r="B290">
        <v>11705</v>
      </c>
      <c r="C290" s="2">
        <v>1097183.8400000001</v>
      </c>
      <c r="D290" s="2">
        <v>7680286.8799999999</v>
      </c>
      <c r="E290" s="2">
        <v>0</v>
      </c>
      <c r="F290" s="1">
        <v>44792</v>
      </c>
      <c r="G290">
        <v>34</v>
      </c>
      <c r="H290" s="36" t="s">
        <v>98</v>
      </c>
      <c r="I290" s="48"/>
      <c r="J290" s="48"/>
      <c r="O290"/>
    </row>
    <row r="291" spans="1:15" x14ac:dyDescent="0.25">
      <c r="A291">
        <v>367</v>
      </c>
      <c r="B291">
        <v>11700</v>
      </c>
      <c r="C291" s="2">
        <v>75040.850000000006</v>
      </c>
      <c r="D291" s="2">
        <v>13896453.720000001</v>
      </c>
      <c r="E291" s="2">
        <v>4162190.1</v>
      </c>
      <c r="F291" s="1">
        <v>44791</v>
      </c>
      <c r="G291">
        <v>34</v>
      </c>
      <c r="H291" s="36" t="s">
        <v>64</v>
      </c>
      <c r="I291" s="48" t="s">
        <v>117</v>
      </c>
      <c r="J291" s="48" t="s">
        <v>115</v>
      </c>
      <c r="O291"/>
    </row>
    <row r="292" spans="1:15" x14ac:dyDescent="0.25">
      <c r="A292">
        <v>369</v>
      </c>
      <c r="B292">
        <v>11700</v>
      </c>
      <c r="C292" s="2">
        <v>41173.94</v>
      </c>
      <c r="D292" s="2">
        <v>4076627.31</v>
      </c>
      <c r="E292" s="2">
        <v>46881.22</v>
      </c>
      <c r="F292" s="1">
        <v>44791</v>
      </c>
      <c r="G292">
        <v>34</v>
      </c>
      <c r="H292" s="36" t="s">
        <v>64</v>
      </c>
      <c r="I292" s="48" t="s">
        <v>117</v>
      </c>
      <c r="J292" s="48" t="s">
        <v>115</v>
      </c>
      <c r="O292"/>
    </row>
    <row r="293" spans="1:15" x14ac:dyDescent="0.25">
      <c r="A293">
        <v>508</v>
      </c>
      <c r="B293">
        <v>11704</v>
      </c>
      <c r="C293" s="2">
        <v>29552.9</v>
      </c>
      <c r="D293" s="2">
        <v>9505320</v>
      </c>
      <c r="E293" s="2">
        <v>24857.85</v>
      </c>
      <c r="F293" s="1">
        <v>44791</v>
      </c>
      <c r="G293">
        <v>34</v>
      </c>
      <c r="H293" s="36" t="s">
        <v>63</v>
      </c>
      <c r="I293" s="48" t="s">
        <v>117</v>
      </c>
      <c r="J293" s="48" t="s">
        <v>115</v>
      </c>
      <c r="O293"/>
    </row>
    <row r="294" spans="1:15" x14ac:dyDescent="0.25">
      <c r="A294">
        <v>508</v>
      </c>
      <c r="B294">
        <v>11701</v>
      </c>
      <c r="C294" s="2">
        <v>655031.76</v>
      </c>
      <c r="D294" s="2">
        <v>9505320</v>
      </c>
      <c r="E294" s="2">
        <v>24857.85</v>
      </c>
      <c r="F294" s="1">
        <v>44791</v>
      </c>
      <c r="G294">
        <v>34</v>
      </c>
      <c r="H294" s="36" t="s">
        <v>63</v>
      </c>
      <c r="I294" s="48" t="s">
        <v>117</v>
      </c>
      <c r="J294" s="48" t="s">
        <v>115</v>
      </c>
      <c r="O294"/>
    </row>
    <row r="295" spans="1:15" x14ac:dyDescent="0.25">
      <c r="A295">
        <v>508</v>
      </c>
      <c r="B295">
        <v>11702</v>
      </c>
      <c r="C295" s="2">
        <v>655031.76</v>
      </c>
      <c r="D295" s="2">
        <v>9505320</v>
      </c>
      <c r="E295" s="2">
        <v>24857.85</v>
      </c>
      <c r="F295" s="1">
        <v>44791</v>
      </c>
      <c r="G295">
        <v>34</v>
      </c>
      <c r="H295" s="36" t="s">
        <v>63</v>
      </c>
      <c r="I295" s="48" t="s">
        <v>117</v>
      </c>
      <c r="J295" s="48" t="s">
        <v>115</v>
      </c>
      <c r="O295"/>
    </row>
    <row r="296" spans="1:15" x14ac:dyDescent="0.25">
      <c r="A296">
        <v>564</v>
      </c>
      <c r="B296">
        <v>11697</v>
      </c>
      <c r="C296" s="2">
        <v>-82996.53</v>
      </c>
      <c r="D296" s="2">
        <v>82996.53</v>
      </c>
      <c r="E296" s="2">
        <v>248989.59</v>
      </c>
      <c r="F296" s="1">
        <v>44790</v>
      </c>
      <c r="G296">
        <v>34</v>
      </c>
      <c r="H296" s="36" t="s">
        <v>56</v>
      </c>
      <c r="I296" s="48" t="s">
        <v>106</v>
      </c>
      <c r="J296" s="48" t="s">
        <v>107</v>
      </c>
      <c r="O296"/>
    </row>
    <row r="297" spans="1:15" x14ac:dyDescent="0.25">
      <c r="A297">
        <v>564</v>
      </c>
      <c r="B297">
        <v>11697</v>
      </c>
      <c r="C297" s="2">
        <v>-82996.53</v>
      </c>
      <c r="D297" s="2">
        <v>82996.53</v>
      </c>
      <c r="E297" s="2">
        <v>248989.59</v>
      </c>
      <c r="F297" s="1">
        <v>44790</v>
      </c>
      <c r="G297">
        <v>34</v>
      </c>
      <c r="H297" s="36" t="s">
        <v>56</v>
      </c>
      <c r="I297" s="48" t="s">
        <v>106</v>
      </c>
      <c r="J297" s="48" t="s">
        <v>107</v>
      </c>
      <c r="O297"/>
    </row>
    <row r="298" spans="1:15" x14ac:dyDescent="0.25">
      <c r="A298">
        <v>564</v>
      </c>
      <c r="B298">
        <v>11697</v>
      </c>
      <c r="C298" s="2">
        <v>-82996.53</v>
      </c>
      <c r="D298" s="2">
        <v>82996.53</v>
      </c>
      <c r="E298" s="2">
        <v>248989.59</v>
      </c>
      <c r="F298" s="1">
        <v>44790</v>
      </c>
      <c r="G298">
        <v>34</v>
      </c>
      <c r="H298" s="36" t="s">
        <v>56</v>
      </c>
      <c r="I298" s="48" t="s">
        <v>106</v>
      </c>
      <c r="J298" s="48" t="s">
        <v>107</v>
      </c>
      <c r="O298"/>
    </row>
    <row r="299" spans="1:15" x14ac:dyDescent="0.25">
      <c r="A299">
        <v>372</v>
      </c>
      <c r="B299">
        <v>11696</v>
      </c>
      <c r="C299" s="2">
        <v>1097183.8400000001</v>
      </c>
      <c r="D299" s="2">
        <v>7680286.8799999999</v>
      </c>
      <c r="E299" s="2">
        <v>0</v>
      </c>
      <c r="F299" s="1">
        <v>44789</v>
      </c>
      <c r="G299">
        <v>34</v>
      </c>
      <c r="H299" s="36" t="s">
        <v>98</v>
      </c>
      <c r="I299" s="48"/>
      <c r="J299" s="48"/>
      <c r="O299"/>
    </row>
    <row r="300" spans="1:15" x14ac:dyDescent="0.25">
      <c r="A300">
        <v>367</v>
      </c>
      <c r="B300">
        <v>11692</v>
      </c>
      <c r="C300" s="2">
        <v>152860.99</v>
      </c>
      <c r="D300" s="2">
        <v>13896453.720000001</v>
      </c>
      <c r="E300" s="2">
        <v>4162190.1</v>
      </c>
      <c r="F300" s="1">
        <v>44788</v>
      </c>
      <c r="G300">
        <v>34</v>
      </c>
      <c r="H300" s="36" t="s">
        <v>64</v>
      </c>
      <c r="I300" s="48" t="s">
        <v>117</v>
      </c>
      <c r="J300" s="48" t="s">
        <v>115</v>
      </c>
      <c r="O300"/>
    </row>
    <row r="301" spans="1:15" x14ac:dyDescent="0.25">
      <c r="A301">
        <v>367</v>
      </c>
      <c r="B301">
        <v>11693</v>
      </c>
      <c r="C301" s="2">
        <v>152860.99</v>
      </c>
      <c r="D301" s="2">
        <v>13896453.720000001</v>
      </c>
      <c r="E301" s="2">
        <v>4162190.1</v>
      </c>
      <c r="F301" s="1">
        <v>44788</v>
      </c>
      <c r="G301">
        <v>34</v>
      </c>
      <c r="H301" s="36" t="s">
        <v>64</v>
      </c>
      <c r="I301" s="48" t="s">
        <v>117</v>
      </c>
      <c r="J301" s="48" t="s">
        <v>115</v>
      </c>
      <c r="O301"/>
    </row>
    <row r="302" spans="1:15" x14ac:dyDescent="0.25">
      <c r="A302">
        <v>369</v>
      </c>
      <c r="B302">
        <v>11692</v>
      </c>
      <c r="C302" s="2">
        <v>82347.87</v>
      </c>
      <c r="D302" s="2">
        <v>4076627.31</v>
      </c>
      <c r="E302" s="2">
        <v>46881.22</v>
      </c>
      <c r="F302" s="1">
        <v>44788</v>
      </c>
      <c r="G302">
        <v>34</v>
      </c>
      <c r="H302" s="36" t="s">
        <v>64</v>
      </c>
      <c r="I302" s="48" t="s">
        <v>117</v>
      </c>
      <c r="J302" s="48" t="s">
        <v>115</v>
      </c>
      <c r="O302"/>
    </row>
    <row r="303" spans="1:15" x14ac:dyDescent="0.25">
      <c r="A303">
        <v>369</v>
      </c>
      <c r="B303">
        <v>11693</v>
      </c>
      <c r="C303" s="2">
        <v>82347.87</v>
      </c>
      <c r="D303" s="2">
        <v>4076627.31</v>
      </c>
      <c r="E303" s="2">
        <v>46881.22</v>
      </c>
      <c r="F303" s="1">
        <v>44788</v>
      </c>
      <c r="G303">
        <v>34</v>
      </c>
      <c r="H303" s="36" t="s">
        <v>64</v>
      </c>
      <c r="I303" s="48" t="s">
        <v>117</v>
      </c>
      <c r="J303" s="48" t="s">
        <v>115</v>
      </c>
      <c r="O303"/>
    </row>
    <row r="304" spans="1:15" x14ac:dyDescent="0.25">
      <c r="A304">
        <v>564</v>
      </c>
      <c r="B304">
        <v>11695</v>
      </c>
      <c r="C304" s="2">
        <v>82996.53</v>
      </c>
      <c r="D304" s="2">
        <v>82996.53</v>
      </c>
      <c r="E304" s="2">
        <v>248989.59</v>
      </c>
      <c r="F304" s="1">
        <v>44788</v>
      </c>
      <c r="G304">
        <v>34</v>
      </c>
      <c r="H304" s="36" t="s">
        <v>56</v>
      </c>
      <c r="I304" s="48" t="s">
        <v>106</v>
      </c>
      <c r="J304" s="48" t="s">
        <v>107</v>
      </c>
      <c r="O304"/>
    </row>
    <row r="305" spans="1:15" x14ac:dyDescent="0.25">
      <c r="A305">
        <v>565</v>
      </c>
      <c r="B305">
        <v>11695</v>
      </c>
      <c r="C305" s="2">
        <v>82996.53</v>
      </c>
      <c r="D305" s="2">
        <v>82996.53</v>
      </c>
      <c r="E305" s="2">
        <v>0</v>
      </c>
      <c r="F305" s="1">
        <v>44788</v>
      </c>
      <c r="G305">
        <v>34</v>
      </c>
      <c r="H305" s="36" t="s">
        <v>56</v>
      </c>
      <c r="I305" s="48" t="s">
        <v>106</v>
      </c>
      <c r="J305" s="48" t="s">
        <v>107</v>
      </c>
      <c r="O305"/>
    </row>
    <row r="306" spans="1:15" x14ac:dyDescent="0.25">
      <c r="A306">
        <v>566</v>
      </c>
      <c r="B306">
        <v>11695</v>
      </c>
      <c r="C306" s="2">
        <v>82996.53</v>
      </c>
      <c r="D306" s="2">
        <v>82996.53</v>
      </c>
      <c r="E306" s="2">
        <v>0</v>
      </c>
      <c r="F306" s="1">
        <v>44788</v>
      </c>
      <c r="G306">
        <v>34</v>
      </c>
      <c r="H306" s="36" t="s">
        <v>56</v>
      </c>
      <c r="I306" s="48" t="s">
        <v>106</v>
      </c>
      <c r="J306" s="48" t="s">
        <v>107</v>
      </c>
      <c r="O306"/>
    </row>
    <row r="307" spans="1:15" x14ac:dyDescent="0.25">
      <c r="A307">
        <v>569</v>
      </c>
      <c r="B307">
        <v>11694</v>
      </c>
      <c r="C307" s="2">
        <v>31555.7</v>
      </c>
      <c r="D307" s="2">
        <v>31555.7</v>
      </c>
      <c r="E307" s="2">
        <v>0</v>
      </c>
      <c r="F307" s="1">
        <v>44788</v>
      </c>
      <c r="G307">
        <v>34</v>
      </c>
      <c r="H307" s="36" t="s">
        <v>56</v>
      </c>
      <c r="I307" s="48" t="s">
        <v>106</v>
      </c>
      <c r="J307" s="48" t="s">
        <v>107</v>
      </c>
      <c r="O307"/>
    </row>
    <row r="308" spans="1:15" x14ac:dyDescent="0.25">
      <c r="A308">
        <v>579</v>
      </c>
      <c r="B308">
        <v>11687</v>
      </c>
      <c r="C308" s="2">
        <v>21677.07</v>
      </c>
      <c r="D308" s="2">
        <v>21677.07</v>
      </c>
      <c r="E308" s="2">
        <v>0</v>
      </c>
      <c r="F308" s="1">
        <v>44785</v>
      </c>
      <c r="G308">
        <v>33</v>
      </c>
      <c r="H308" s="36" t="s">
        <v>54</v>
      </c>
      <c r="I308" s="48" t="s">
        <v>106</v>
      </c>
      <c r="J308" s="48" t="s">
        <v>107</v>
      </c>
      <c r="O308"/>
    </row>
    <row r="309" spans="1:15" x14ac:dyDescent="0.25">
      <c r="A309">
        <v>580</v>
      </c>
      <c r="B309">
        <v>11687</v>
      </c>
      <c r="C309" s="2">
        <v>21677.07</v>
      </c>
      <c r="D309" s="2">
        <v>21677.07</v>
      </c>
      <c r="E309" s="2">
        <v>0</v>
      </c>
      <c r="F309" s="1">
        <v>44785</v>
      </c>
      <c r="G309">
        <v>33</v>
      </c>
      <c r="H309" s="36" t="s">
        <v>54</v>
      </c>
      <c r="I309" s="48" t="s">
        <v>106</v>
      </c>
      <c r="J309" s="48" t="s">
        <v>107</v>
      </c>
      <c r="O309"/>
    </row>
    <row r="310" spans="1:15" x14ac:dyDescent="0.25">
      <c r="A310">
        <v>581</v>
      </c>
      <c r="B310">
        <v>11687</v>
      </c>
      <c r="C310" s="2">
        <v>21677.07</v>
      </c>
      <c r="D310" s="2">
        <v>21677.07</v>
      </c>
      <c r="E310" s="2">
        <v>0</v>
      </c>
      <c r="F310" s="1">
        <v>44785</v>
      </c>
      <c r="G310">
        <v>33</v>
      </c>
      <c r="H310" s="36" t="s">
        <v>54</v>
      </c>
      <c r="I310" s="48" t="s">
        <v>106</v>
      </c>
      <c r="J310" s="48" t="s">
        <v>107</v>
      </c>
      <c r="O310"/>
    </row>
    <row r="311" spans="1:15" x14ac:dyDescent="0.25">
      <c r="A311">
        <v>582</v>
      </c>
      <c r="B311">
        <v>11687</v>
      </c>
      <c r="C311" s="2">
        <v>21677.07</v>
      </c>
      <c r="D311" s="2">
        <v>21677.07</v>
      </c>
      <c r="E311" s="2">
        <v>0</v>
      </c>
      <c r="F311" s="1">
        <v>44785</v>
      </c>
      <c r="G311">
        <v>33</v>
      </c>
      <c r="H311" s="36" t="s">
        <v>54</v>
      </c>
      <c r="I311" s="48" t="s">
        <v>106</v>
      </c>
      <c r="J311" s="48" t="s">
        <v>107</v>
      </c>
      <c r="O311"/>
    </row>
    <row r="312" spans="1:15" x14ac:dyDescent="0.25">
      <c r="A312">
        <v>583</v>
      </c>
      <c r="B312">
        <v>11687</v>
      </c>
      <c r="C312" s="2">
        <v>21677.07</v>
      </c>
      <c r="D312" s="2">
        <v>21677.07</v>
      </c>
      <c r="E312" s="2">
        <v>0</v>
      </c>
      <c r="F312" s="1">
        <v>44785</v>
      </c>
      <c r="G312">
        <v>33</v>
      </c>
      <c r="H312" s="36" t="s">
        <v>54</v>
      </c>
      <c r="I312" s="48" t="s">
        <v>106</v>
      </c>
      <c r="J312" s="48" t="s">
        <v>107</v>
      </c>
      <c r="O312"/>
    </row>
    <row r="313" spans="1:15" x14ac:dyDescent="0.25">
      <c r="A313">
        <v>584</v>
      </c>
      <c r="B313">
        <v>11687</v>
      </c>
      <c r="C313" s="2">
        <v>21677.07</v>
      </c>
      <c r="D313" s="2">
        <v>21677.07</v>
      </c>
      <c r="E313" s="2">
        <v>0</v>
      </c>
      <c r="F313" s="1">
        <v>44785</v>
      </c>
      <c r="G313">
        <v>33</v>
      </c>
      <c r="H313" s="36" t="s">
        <v>54</v>
      </c>
      <c r="I313" s="48" t="s">
        <v>106</v>
      </c>
      <c r="J313" s="48" t="s">
        <v>107</v>
      </c>
      <c r="O313"/>
    </row>
    <row r="314" spans="1:15" x14ac:dyDescent="0.25">
      <c r="A314">
        <v>585</v>
      </c>
      <c r="B314">
        <v>11687</v>
      </c>
      <c r="C314" s="2">
        <v>21677.07</v>
      </c>
      <c r="D314" s="2">
        <v>21677.07</v>
      </c>
      <c r="E314" s="2">
        <v>0</v>
      </c>
      <c r="F314" s="1">
        <v>44785</v>
      </c>
      <c r="G314">
        <v>33</v>
      </c>
      <c r="H314" s="36" t="s">
        <v>54</v>
      </c>
      <c r="I314" s="48" t="s">
        <v>106</v>
      </c>
      <c r="J314" s="48" t="s">
        <v>107</v>
      </c>
      <c r="O314"/>
    </row>
    <row r="315" spans="1:15" x14ac:dyDescent="0.25">
      <c r="A315">
        <v>604</v>
      </c>
      <c r="B315">
        <v>11687</v>
      </c>
      <c r="C315" s="2">
        <v>21677.07</v>
      </c>
      <c r="D315" s="2">
        <v>21677.07</v>
      </c>
      <c r="E315" s="2">
        <v>0</v>
      </c>
      <c r="F315" s="1">
        <v>44785</v>
      </c>
      <c r="G315">
        <v>33</v>
      </c>
      <c r="H315" s="36" t="s">
        <v>54</v>
      </c>
      <c r="I315" s="48" t="s">
        <v>106</v>
      </c>
      <c r="J315" s="48" t="s">
        <v>107</v>
      </c>
      <c r="O315"/>
    </row>
    <row r="316" spans="1:15" x14ac:dyDescent="0.25">
      <c r="A316">
        <v>708</v>
      </c>
      <c r="B316">
        <v>11690</v>
      </c>
      <c r="C316" s="2">
        <v>2100</v>
      </c>
      <c r="D316" s="2">
        <v>2100</v>
      </c>
      <c r="E316" s="2">
        <v>0</v>
      </c>
      <c r="F316" s="1">
        <v>44785</v>
      </c>
      <c r="G316">
        <v>33</v>
      </c>
      <c r="H316" s="36" t="s">
        <v>105</v>
      </c>
      <c r="I316" s="48"/>
      <c r="J316" s="48"/>
      <c r="O316"/>
    </row>
    <row r="317" spans="1:15" x14ac:dyDescent="0.25">
      <c r="A317">
        <v>504</v>
      </c>
      <c r="B317">
        <v>11685</v>
      </c>
      <c r="C317" s="2">
        <v>14408.28</v>
      </c>
      <c r="D317" s="2">
        <v>1440827.8</v>
      </c>
      <c r="E317" s="2">
        <v>0</v>
      </c>
      <c r="F317" s="1">
        <v>44784</v>
      </c>
      <c r="G317">
        <v>33</v>
      </c>
      <c r="H317" s="36" t="s">
        <v>61</v>
      </c>
      <c r="I317" s="48" t="s">
        <v>120</v>
      </c>
      <c r="J317" s="48" t="s">
        <v>120</v>
      </c>
      <c r="O317"/>
    </row>
    <row r="318" spans="1:15" x14ac:dyDescent="0.25">
      <c r="A318">
        <v>608</v>
      </c>
      <c r="B318">
        <v>333</v>
      </c>
      <c r="C318" s="2">
        <v>675478.68</v>
      </c>
      <c r="D318" s="2">
        <v>3318540</v>
      </c>
      <c r="E318" s="2">
        <v>0</v>
      </c>
      <c r="F318" s="1">
        <v>44783</v>
      </c>
      <c r="G318">
        <v>33</v>
      </c>
      <c r="H318" s="36" t="s">
        <v>61</v>
      </c>
      <c r="I318" s="48" t="s">
        <v>120</v>
      </c>
      <c r="J318" s="48" t="s">
        <v>120</v>
      </c>
      <c r="O318"/>
    </row>
    <row r="319" spans="1:15" x14ac:dyDescent="0.25">
      <c r="A319">
        <v>501</v>
      </c>
      <c r="B319">
        <v>11679</v>
      </c>
      <c r="C319" s="2">
        <v>53529.760000000002</v>
      </c>
      <c r="D319" s="2">
        <v>669122.05000000005</v>
      </c>
      <c r="E319" s="2">
        <v>26764.89</v>
      </c>
      <c r="F319" s="1">
        <v>44781</v>
      </c>
      <c r="G319">
        <v>33</v>
      </c>
      <c r="H319" s="36" t="s">
        <v>61</v>
      </c>
      <c r="I319" s="48" t="s">
        <v>120</v>
      </c>
      <c r="J319" s="48" t="s">
        <v>120</v>
      </c>
      <c r="O319"/>
    </row>
    <row r="320" spans="1:15" x14ac:dyDescent="0.25">
      <c r="A320">
        <v>334</v>
      </c>
      <c r="B320">
        <v>11674</v>
      </c>
      <c r="C320" s="2">
        <v>-360339.68</v>
      </c>
      <c r="D320" s="2">
        <v>697994.54</v>
      </c>
      <c r="E320" s="2">
        <v>1359608.58</v>
      </c>
      <c r="F320" s="1">
        <v>44778</v>
      </c>
      <c r="G320">
        <v>32</v>
      </c>
      <c r="H320" s="36" t="s">
        <v>59</v>
      </c>
      <c r="I320" s="48" t="s">
        <v>106</v>
      </c>
      <c r="J320" s="48" t="s">
        <v>107</v>
      </c>
      <c r="O320"/>
    </row>
    <row r="321" spans="1:15" x14ac:dyDescent="0.25">
      <c r="A321">
        <v>335</v>
      </c>
      <c r="B321">
        <v>11675</v>
      </c>
      <c r="C321" s="2">
        <v>-360339.68</v>
      </c>
      <c r="D321" s="2">
        <v>1046991.81</v>
      </c>
      <c r="E321" s="2">
        <v>422366.01</v>
      </c>
      <c r="F321" s="1">
        <v>44778</v>
      </c>
      <c r="G321">
        <v>32</v>
      </c>
      <c r="H321" s="36" t="s">
        <v>59</v>
      </c>
      <c r="I321" s="48" t="s">
        <v>113</v>
      </c>
      <c r="J321" s="48"/>
      <c r="O321"/>
    </row>
    <row r="322" spans="1:15" x14ac:dyDescent="0.25">
      <c r="A322">
        <v>367</v>
      </c>
      <c r="B322">
        <v>11673</v>
      </c>
      <c r="C322" s="2">
        <v>152860.99</v>
      </c>
      <c r="D322" s="2">
        <v>13896453.720000001</v>
      </c>
      <c r="E322" s="2">
        <v>4162190.1</v>
      </c>
      <c r="F322" s="1">
        <v>44778</v>
      </c>
      <c r="G322">
        <v>32</v>
      </c>
      <c r="H322" s="36" t="s">
        <v>64</v>
      </c>
      <c r="I322" s="48" t="s">
        <v>117</v>
      </c>
      <c r="J322" s="48" t="s">
        <v>115</v>
      </c>
      <c r="O322"/>
    </row>
    <row r="323" spans="1:15" x14ac:dyDescent="0.25">
      <c r="A323">
        <v>369</v>
      </c>
      <c r="B323">
        <v>11673</v>
      </c>
      <c r="C323" s="2">
        <v>82347.87</v>
      </c>
      <c r="D323" s="2">
        <v>4076627.31</v>
      </c>
      <c r="E323" s="2">
        <v>46881.22</v>
      </c>
      <c r="F323" s="1">
        <v>44778</v>
      </c>
      <c r="G323">
        <v>32</v>
      </c>
      <c r="H323" s="36" t="s">
        <v>64</v>
      </c>
      <c r="I323" s="48" t="s">
        <v>117</v>
      </c>
      <c r="J323" s="48" t="s">
        <v>115</v>
      </c>
      <c r="O323"/>
    </row>
    <row r="324" spans="1:15" x14ac:dyDescent="0.25">
      <c r="A324">
        <v>571</v>
      </c>
      <c r="B324">
        <v>11672</v>
      </c>
      <c r="C324" s="2">
        <v>17262.990000000002</v>
      </c>
      <c r="D324" s="2">
        <v>17262.990000000002</v>
      </c>
      <c r="E324" s="2">
        <v>0</v>
      </c>
      <c r="F324" s="1">
        <v>44778</v>
      </c>
      <c r="G324">
        <v>32</v>
      </c>
      <c r="H324" s="36" t="s">
        <v>54</v>
      </c>
      <c r="I324" s="48" t="s">
        <v>106</v>
      </c>
      <c r="J324" s="48" t="s">
        <v>107</v>
      </c>
      <c r="O324"/>
    </row>
    <row r="325" spans="1:15" x14ac:dyDescent="0.25">
      <c r="A325">
        <v>572</v>
      </c>
      <c r="B325">
        <v>11672</v>
      </c>
      <c r="C325" s="2">
        <v>17262.990000000002</v>
      </c>
      <c r="D325" s="2">
        <v>17262.990000000002</v>
      </c>
      <c r="E325" s="2">
        <v>0</v>
      </c>
      <c r="F325" s="1">
        <v>44778</v>
      </c>
      <c r="G325">
        <v>32</v>
      </c>
      <c r="H325" s="36" t="s">
        <v>54</v>
      </c>
      <c r="I325" s="48" t="s">
        <v>106</v>
      </c>
      <c r="J325" s="48" t="s">
        <v>107</v>
      </c>
      <c r="O325"/>
    </row>
    <row r="326" spans="1:15" x14ac:dyDescent="0.25">
      <c r="A326">
        <v>602</v>
      </c>
      <c r="B326">
        <v>11672</v>
      </c>
      <c r="C326" s="2">
        <v>17262.990000000002</v>
      </c>
      <c r="D326" s="2">
        <v>17262.990000000002</v>
      </c>
      <c r="E326" s="2">
        <v>0</v>
      </c>
      <c r="F326" s="1">
        <v>44778</v>
      </c>
      <c r="G326">
        <v>32</v>
      </c>
      <c r="H326" s="36" t="s">
        <v>54</v>
      </c>
      <c r="I326" s="48" t="s">
        <v>106</v>
      </c>
      <c r="J326" s="48" t="s">
        <v>107</v>
      </c>
      <c r="O326"/>
    </row>
    <row r="327" spans="1:15" x14ac:dyDescent="0.25">
      <c r="A327">
        <v>603</v>
      </c>
      <c r="B327">
        <v>11672</v>
      </c>
      <c r="C327" s="2">
        <v>17262.990000000002</v>
      </c>
      <c r="D327" s="2">
        <v>17262.990000000002</v>
      </c>
      <c r="E327" s="2">
        <v>0</v>
      </c>
      <c r="F327" s="1">
        <v>44778</v>
      </c>
      <c r="G327">
        <v>32</v>
      </c>
      <c r="H327" s="36" t="s">
        <v>54</v>
      </c>
      <c r="I327" s="48" t="s">
        <v>106</v>
      </c>
      <c r="J327" s="48" t="s">
        <v>107</v>
      </c>
      <c r="O327"/>
    </row>
    <row r="328" spans="1:15" x14ac:dyDescent="0.25">
      <c r="A328">
        <v>367</v>
      </c>
      <c r="B328">
        <v>11668</v>
      </c>
      <c r="C328" s="2">
        <v>152860.99</v>
      </c>
      <c r="D328" s="2">
        <v>13896453.720000001</v>
      </c>
      <c r="E328" s="2">
        <v>4162190.1</v>
      </c>
      <c r="F328" s="1">
        <v>44776</v>
      </c>
      <c r="G328">
        <v>32</v>
      </c>
      <c r="H328" s="36" t="s">
        <v>64</v>
      </c>
      <c r="I328" s="48" t="s">
        <v>117</v>
      </c>
      <c r="J328" s="48" t="s">
        <v>115</v>
      </c>
      <c r="O328"/>
    </row>
    <row r="329" spans="1:15" x14ac:dyDescent="0.25">
      <c r="A329">
        <v>369</v>
      </c>
      <c r="B329">
        <v>11668</v>
      </c>
      <c r="C329" s="2">
        <v>82347.87</v>
      </c>
      <c r="D329" s="2">
        <v>4076627.31</v>
      </c>
      <c r="E329" s="2">
        <v>46881.22</v>
      </c>
      <c r="F329" s="1">
        <v>44776</v>
      </c>
      <c r="G329">
        <v>32</v>
      </c>
      <c r="H329" s="36" t="s">
        <v>64</v>
      </c>
      <c r="I329" s="48" t="s">
        <v>117</v>
      </c>
      <c r="J329" s="48" t="s">
        <v>115</v>
      </c>
      <c r="O329"/>
    </row>
    <row r="330" spans="1:15" x14ac:dyDescent="0.25">
      <c r="A330">
        <v>502</v>
      </c>
      <c r="B330">
        <v>11670</v>
      </c>
      <c r="C330" s="2">
        <v>754342.53</v>
      </c>
      <c r="D330" s="2">
        <v>1409986.03</v>
      </c>
      <c r="E330" s="2">
        <v>0</v>
      </c>
      <c r="F330" s="1">
        <v>44776</v>
      </c>
      <c r="G330">
        <v>32</v>
      </c>
      <c r="H330" s="36" t="s">
        <v>61</v>
      </c>
      <c r="I330" s="48" t="s">
        <v>120</v>
      </c>
      <c r="J330" s="48" t="s">
        <v>120</v>
      </c>
      <c r="O330"/>
    </row>
    <row r="331" spans="1:15" x14ac:dyDescent="0.25">
      <c r="A331">
        <v>504</v>
      </c>
      <c r="B331">
        <v>11669</v>
      </c>
      <c r="C331" s="2">
        <v>28816.560000000001</v>
      </c>
      <c r="D331" s="2">
        <v>1440827.8</v>
      </c>
      <c r="E331" s="2">
        <v>0</v>
      </c>
      <c r="F331" s="1">
        <v>44776</v>
      </c>
      <c r="G331">
        <v>32</v>
      </c>
      <c r="H331" s="36" t="s">
        <v>61</v>
      </c>
      <c r="I331" s="48" t="s">
        <v>120</v>
      </c>
      <c r="J331" s="48" t="s">
        <v>120</v>
      </c>
      <c r="O331"/>
    </row>
    <row r="332" spans="1:15" x14ac:dyDescent="0.25">
      <c r="A332">
        <v>334</v>
      </c>
      <c r="B332">
        <v>11663</v>
      </c>
      <c r="C332" s="2">
        <v>-348997.27</v>
      </c>
      <c r="D332" s="2">
        <v>697994.54</v>
      </c>
      <c r="E332" s="2">
        <v>1359608.58</v>
      </c>
      <c r="F332" s="1">
        <v>44775</v>
      </c>
      <c r="G332">
        <v>32</v>
      </c>
      <c r="H332" s="36" t="s">
        <v>59</v>
      </c>
      <c r="I332" s="48" t="s">
        <v>106</v>
      </c>
      <c r="J332" s="48" t="s">
        <v>107</v>
      </c>
      <c r="O332"/>
    </row>
    <row r="333" spans="1:15" x14ac:dyDescent="0.25">
      <c r="A333">
        <v>334</v>
      </c>
      <c r="B333">
        <v>11663</v>
      </c>
      <c r="C333" s="2">
        <v>-153808.99</v>
      </c>
      <c r="D333" s="2">
        <v>697994.54</v>
      </c>
      <c r="E333" s="2">
        <v>1359608.58</v>
      </c>
      <c r="F333" s="1">
        <v>44775</v>
      </c>
      <c r="G333">
        <v>32</v>
      </c>
      <c r="H333" s="36" t="s">
        <v>59</v>
      </c>
      <c r="I333" s="48" t="s">
        <v>106</v>
      </c>
      <c r="J333" s="48" t="s">
        <v>107</v>
      </c>
      <c r="O333"/>
    </row>
    <row r="334" spans="1:15" x14ac:dyDescent="0.25">
      <c r="A334">
        <v>696</v>
      </c>
      <c r="B334">
        <v>11665</v>
      </c>
      <c r="C334" s="2">
        <v>13794.41</v>
      </c>
      <c r="D334" s="2">
        <v>13794.41</v>
      </c>
      <c r="E334" s="2">
        <v>0</v>
      </c>
      <c r="F334" s="1">
        <v>44775</v>
      </c>
      <c r="G334">
        <v>32</v>
      </c>
      <c r="H334" s="36" t="s">
        <v>54</v>
      </c>
      <c r="I334" s="48"/>
      <c r="J334" s="48"/>
      <c r="O334"/>
    </row>
    <row r="335" spans="1:15" x14ac:dyDescent="0.25">
      <c r="A335">
        <v>573</v>
      </c>
      <c r="B335">
        <v>11662</v>
      </c>
      <c r="C335" s="2">
        <v>25375.24</v>
      </c>
      <c r="D335" s="2">
        <v>25375.24</v>
      </c>
      <c r="E335" s="2">
        <v>0</v>
      </c>
      <c r="F335" s="1">
        <v>44774</v>
      </c>
      <c r="G335">
        <v>32</v>
      </c>
      <c r="H335" s="36" t="s">
        <v>54</v>
      </c>
      <c r="I335" s="48" t="s">
        <v>106</v>
      </c>
      <c r="J335" s="48" t="s">
        <v>107</v>
      </c>
      <c r="O335"/>
    </row>
    <row r="336" spans="1:15" x14ac:dyDescent="0.25">
      <c r="A336">
        <v>574</v>
      </c>
      <c r="B336">
        <v>11662</v>
      </c>
      <c r="C336" s="2">
        <v>25375.24</v>
      </c>
      <c r="D336" s="2">
        <v>25375.24</v>
      </c>
      <c r="E336" s="2">
        <v>0</v>
      </c>
      <c r="F336" s="1">
        <v>44774</v>
      </c>
      <c r="G336">
        <v>32</v>
      </c>
      <c r="H336" s="36" t="s">
        <v>54</v>
      </c>
      <c r="I336" s="48" t="s">
        <v>106</v>
      </c>
      <c r="J336" s="48" t="s">
        <v>107</v>
      </c>
      <c r="O336"/>
    </row>
    <row r="337" spans="1:15" x14ac:dyDescent="0.25">
      <c r="A337">
        <v>575</v>
      </c>
      <c r="B337">
        <v>11662</v>
      </c>
      <c r="C337" s="2">
        <v>25375.24</v>
      </c>
      <c r="D337" s="2">
        <v>25375.24</v>
      </c>
      <c r="E337" s="2">
        <v>0</v>
      </c>
      <c r="F337" s="1">
        <v>44774</v>
      </c>
      <c r="G337">
        <v>32</v>
      </c>
      <c r="H337" s="36" t="s">
        <v>54</v>
      </c>
      <c r="I337" s="48" t="s">
        <v>106</v>
      </c>
      <c r="J337" s="48" t="s">
        <v>107</v>
      </c>
      <c r="O337"/>
    </row>
    <row r="338" spans="1:15" x14ac:dyDescent="0.25">
      <c r="A338">
        <v>576</v>
      </c>
      <c r="B338">
        <v>11662</v>
      </c>
      <c r="C338" s="2">
        <v>25375.24</v>
      </c>
      <c r="D338" s="2">
        <v>25375.24</v>
      </c>
      <c r="E338" s="2">
        <v>0</v>
      </c>
      <c r="F338" s="1">
        <v>44774</v>
      </c>
      <c r="G338">
        <v>32</v>
      </c>
      <c r="H338" s="36" t="s">
        <v>54</v>
      </c>
      <c r="I338" s="48" t="s">
        <v>106</v>
      </c>
      <c r="J338" s="48" t="s">
        <v>107</v>
      </c>
      <c r="O338"/>
    </row>
    <row r="339" spans="1:15" x14ac:dyDescent="0.25">
      <c r="A339">
        <v>372</v>
      </c>
      <c r="B339">
        <v>11657</v>
      </c>
      <c r="C339" s="2">
        <v>1097183.8400000001</v>
      </c>
      <c r="D339" s="2">
        <v>7680286.8799999999</v>
      </c>
      <c r="E339" s="2">
        <v>0</v>
      </c>
      <c r="F339" s="1">
        <v>44771</v>
      </c>
      <c r="G339">
        <v>31</v>
      </c>
      <c r="H339" s="36" t="s">
        <v>98</v>
      </c>
      <c r="I339" s="48"/>
      <c r="J339" s="48"/>
      <c r="O339"/>
    </row>
    <row r="340" spans="1:15" x14ac:dyDescent="0.25">
      <c r="A340">
        <v>372</v>
      </c>
      <c r="B340">
        <v>11658</v>
      </c>
      <c r="C340" s="2">
        <v>1097183.8400000001</v>
      </c>
      <c r="D340" s="2">
        <v>7680286.8799999999</v>
      </c>
      <c r="E340" s="2">
        <v>0</v>
      </c>
      <c r="F340" s="1">
        <v>44771</v>
      </c>
      <c r="G340">
        <v>31</v>
      </c>
      <c r="H340" s="36" t="s">
        <v>98</v>
      </c>
      <c r="I340" s="48"/>
      <c r="J340" s="48"/>
      <c r="O340"/>
    </row>
    <row r="341" spans="1:15" x14ac:dyDescent="0.25">
      <c r="A341">
        <v>450</v>
      </c>
      <c r="B341">
        <v>11641</v>
      </c>
      <c r="C341" s="2">
        <v>95628.09</v>
      </c>
      <c r="D341" s="2">
        <v>97248.9</v>
      </c>
      <c r="E341" s="2">
        <v>1620.81</v>
      </c>
      <c r="F341" s="1">
        <v>44770</v>
      </c>
      <c r="G341">
        <v>31</v>
      </c>
      <c r="H341" s="36" t="s">
        <v>56</v>
      </c>
      <c r="I341" s="48"/>
      <c r="J341" s="48"/>
      <c r="O341"/>
    </row>
    <row r="342" spans="1:15" x14ac:dyDescent="0.25">
      <c r="A342">
        <v>456</v>
      </c>
      <c r="B342">
        <v>11642</v>
      </c>
      <c r="C342" s="2">
        <v>95628.09</v>
      </c>
      <c r="D342" s="2">
        <v>97248.9</v>
      </c>
      <c r="E342" s="2">
        <v>1620.81</v>
      </c>
      <c r="F342" s="1">
        <v>44770</v>
      </c>
      <c r="G342">
        <v>31</v>
      </c>
      <c r="H342" s="36" t="s">
        <v>56</v>
      </c>
      <c r="I342" s="48"/>
      <c r="J342" s="48"/>
      <c r="O342"/>
    </row>
    <row r="343" spans="1:15" x14ac:dyDescent="0.25">
      <c r="A343">
        <v>460</v>
      </c>
      <c r="B343">
        <v>11654</v>
      </c>
      <c r="C343" s="2">
        <v>50799</v>
      </c>
      <c r="D343" s="2">
        <v>51660</v>
      </c>
      <c r="E343" s="2">
        <v>861</v>
      </c>
      <c r="F343" s="1">
        <v>44770</v>
      </c>
      <c r="G343">
        <v>31</v>
      </c>
      <c r="H343" s="36" t="s">
        <v>56</v>
      </c>
      <c r="I343" s="48"/>
      <c r="J343" s="48"/>
      <c r="O343"/>
    </row>
    <row r="344" spans="1:15" x14ac:dyDescent="0.25">
      <c r="A344">
        <v>469</v>
      </c>
      <c r="B344">
        <v>11644</v>
      </c>
      <c r="C344" s="2">
        <v>95628.09</v>
      </c>
      <c r="D344" s="2">
        <v>97248.9</v>
      </c>
      <c r="E344" s="2">
        <v>1620.81</v>
      </c>
      <c r="F344" s="1">
        <v>44770</v>
      </c>
      <c r="G344">
        <v>31</v>
      </c>
      <c r="H344" s="36" t="s">
        <v>56</v>
      </c>
      <c r="I344" s="48"/>
      <c r="J344" s="48"/>
      <c r="O344"/>
    </row>
    <row r="345" spans="1:15" x14ac:dyDescent="0.25">
      <c r="A345">
        <v>484</v>
      </c>
      <c r="B345">
        <v>11646</v>
      </c>
      <c r="C345" s="2">
        <v>95628.09</v>
      </c>
      <c r="D345" s="2">
        <v>97248.9</v>
      </c>
      <c r="E345" s="2">
        <v>1620.81</v>
      </c>
      <c r="F345" s="1">
        <v>44770</v>
      </c>
      <c r="G345">
        <v>31</v>
      </c>
      <c r="H345" s="36" t="s">
        <v>56</v>
      </c>
      <c r="I345" s="48"/>
      <c r="J345" s="48"/>
      <c r="O345"/>
    </row>
    <row r="346" spans="1:15" x14ac:dyDescent="0.25">
      <c r="A346">
        <v>486</v>
      </c>
      <c r="B346">
        <v>11653</v>
      </c>
      <c r="C346" s="2">
        <v>95628.09</v>
      </c>
      <c r="D346" s="2">
        <v>97248.9</v>
      </c>
      <c r="E346" s="2">
        <v>1620.81</v>
      </c>
      <c r="F346" s="1">
        <v>44770</v>
      </c>
      <c r="G346">
        <v>31</v>
      </c>
      <c r="H346" s="36" t="s">
        <v>56</v>
      </c>
      <c r="I346" s="48" t="s">
        <v>106</v>
      </c>
      <c r="J346" s="48" t="s">
        <v>107</v>
      </c>
      <c r="O346"/>
    </row>
    <row r="347" spans="1:15" x14ac:dyDescent="0.25">
      <c r="A347">
        <v>488</v>
      </c>
      <c r="B347">
        <v>11647</v>
      </c>
      <c r="C347" s="2">
        <v>95628.09</v>
      </c>
      <c r="D347" s="2">
        <v>97248.9</v>
      </c>
      <c r="E347" s="2">
        <v>1620.81</v>
      </c>
      <c r="F347" s="1">
        <v>44770</v>
      </c>
      <c r="G347">
        <v>31</v>
      </c>
      <c r="H347" s="36" t="s">
        <v>56</v>
      </c>
      <c r="I347" s="48"/>
      <c r="J347" s="48"/>
      <c r="O347"/>
    </row>
    <row r="348" spans="1:15" x14ac:dyDescent="0.25">
      <c r="A348">
        <v>490</v>
      </c>
      <c r="B348">
        <v>11648</v>
      </c>
      <c r="C348" s="2">
        <v>95628.09</v>
      </c>
      <c r="D348" s="2">
        <v>97248.9</v>
      </c>
      <c r="E348" s="2">
        <v>1620.81</v>
      </c>
      <c r="F348" s="1">
        <v>44770</v>
      </c>
      <c r="G348">
        <v>31</v>
      </c>
      <c r="H348" s="36" t="s">
        <v>56</v>
      </c>
      <c r="I348" s="48"/>
      <c r="J348" s="48"/>
      <c r="O348"/>
    </row>
    <row r="349" spans="1:15" x14ac:dyDescent="0.25">
      <c r="A349">
        <v>492</v>
      </c>
      <c r="B349">
        <v>11649</v>
      </c>
      <c r="C349" s="2">
        <v>95628.09</v>
      </c>
      <c r="D349" s="2">
        <v>97248.9</v>
      </c>
      <c r="E349" s="2">
        <v>1620.81</v>
      </c>
      <c r="F349" s="1">
        <v>44770</v>
      </c>
      <c r="G349">
        <v>31</v>
      </c>
      <c r="H349" s="36" t="s">
        <v>56</v>
      </c>
      <c r="I349" s="48"/>
      <c r="J349" s="48"/>
      <c r="O349"/>
    </row>
    <row r="350" spans="1:15" x14ac:dyDescent="0.25">
      <c r="A350">
        <v>496</v>
      </c>
      <c r="B350">
        <v>11650</v>
      </c>
      <c r="C350" s="2">
        <v>95628.09</v>
      </c>
      <c r="D350" s="2">
        <v>97248.9</v>
      </c>
      <c r="E350" s="2">
        <v>1620.81</v>
      </c>
      <c r="F350" s="1">
        <v>44770</v>
      </c>
      <c r="G350">
        <v>31</v>
      </c>
      <c r="H350" s="36" t="s">
        <v>56</v>
      </c>
      <c r="I350" s="48"/>
      <c r="J350" s="48"/>
      <c r="O350"/>
    </row>
    <row r="351" spans="1:15" x14ac:dyDescent="0.25">
      <c r="A351">
        <v>498</v>
      </c>
      <c r="B351">
        <v>11651</v>
      </c>
      <c r="C351" s="2">
        <v>95628.09</v>
      </c>
      <c r="D351" s="2">
        <v>97248.9</v>
      </c>
      <c r="E351" s="2">
        <v>1620.81</v>
      </c>
      <c r="F351" s="1">
        <v>44770</v>
      </c>
      <c r="G351">
        <v>31</v>
      </c>
      <c r="H351" s="36" t="s">
        <v>56</v>
      </c>
      <c r="I351" s="48"/>
      <c r="J351" s="48"/>
      <c r="O351"/>
    </row>
    <row r="352" spans="1:15" x14ac:dyDescent="0.25">
      <c r="A352">
        <v>527</v>
      </c>
      <c r="B352">
        <v>11655</v>
      </c>
      <c r="C352" s="2">
        <v>95628.09</v>
      </c>
      <c r="D352" s="2">
        <v>97248.9</v>
      </c>
      <c r="E352" s="2">
        <v>1620.81</v>
      </c>
      <c r="F352" s="1">
        <v>44770</v>
      </c>
      <c r="G352">
        <v>31</v>
      </c>
      <c r="H352" s="36" t="s">
        <v>56</v>
      </c>
      <c r="I352" s="48"/>
      <c r="J352" s="48"/>
      <c r="O352"/>
    </row>
    <row r="353" spans="1:15" x14ac:dyDescent="0.25">
      <c r="A353">
        <v>562</v>
      </c>
      <c r="B353">
        <v>11652</v>
      </c>
      <c r="C353" s="2">
        <v>92925</v>
      </c>
      <c r="D353" s="2">
        <v>94500</v>
      </c>
      <c r="E353" s="2">
        <v>1575</v>
      </c>
      <c r="F353" s="1">
        <v>44770</v>
      </c>
      <c r="G353">
        <v>31</v>
      </c>
      <c r="H353" s="36" t="s">
        <v>56</v>
      </c>
      <c r="I353" s="48"/>
      <c r="J353" s="48"/>
      <c r="O353"/>
    </row>
    <row r="354" spans="1:15" x14ac:dyDescent="0.25">
      <c r="A354">
        <v>568</v>
      </c>
      <c r="B354">
        <v>11654</v>
      </c>
      <c r="C354" s="2">
        <v>50799</v>
      </c>
      <c r="D354" s="2">
        <v>51660</v>
      </c>
      <c r="E354" s="2">
        <v>861</v>
      </c>
      <c r="F354" s="1">
        <v>44770</v>
      </c>
      <c r="G354">
        <v>31</v>
      </c>
      <c r="H354" s="36" t="s">
        <v>56</v>
      </c>
      <c r="I354" s="48"/>
      <c r="J354" s="48"/>
      <c r="O354"/>
    </row>
    <row r="355" spans="1:15" x14ac:dyDescent="0.25">
      <c r="A355">
        <v>367</v>
      </c>
      <c r="B355">
        <v>11636</v>
      </c>
      <c r="C355" s="2">
        <v>305721.98</v>
      </c>
      <c r="D355" s="2">
        <v>13896453.720000001</v>
      </c>
      <c r="E355" s="2">
        <v>4162190.1</v>
      </c>
      <c r="F355" s="1">
        <v>44767</v>
      </c>
      <c r="G355">
        <v>31</v>
      </c>
      <c r="H355" s="36" t="s">
        <v>64</v>
      </c>
      <c r="I355" s="48" t="s">
        <v>117</v>
      </c>
      <c r="J355" s="48" t="s">
        <v>115</v>
      </c>
      <c r="O355"/>
    </row>
    <row r="356" spans="1:15" x14ac:dyDescent="0.25">
      <c r="A356">
        <v>369</v>
      </c>
      <c r="B356">
        <v>11636</v>
      </c>
      <c r="C356" s="2">
        <v>82347.87</v>
      </c>
      <c r="D356" s="2">
        <v>4076627.31</v>
      </c>
      <c r="E356" s="2">
        <v>46881.22</v>
      </c>
      <c r="F356" s="1">
        <v>44767</v>
      </c>
      <c r="G356">
        <v>31</v>
      </c>
      <c r="H356" s="36" t="s">
        <v>64</v>
      </c>
      <c r="I356" s="48" t="s">
        <v>117</v>
      </c>
      <c r="J356" s="48" t="s">
        <v>115</v>
      </c>
      <c r="O356"/>
    </row>
    <row r="357" spans="1:15" x14ac:dyDescent="0.25">
      <c r="A357">
        <v>502</v>
      </c>
      <c r="B357">
        <v>11637</v>
      </c>
      <c r="C357" s="2">
        <v>105748.95</v>
      </c>
      <c r="D357" s="2">
        <v>1409986.03</v>
      </c>
      <c r="E357" s="2">
        <v>0</v>
      </c>
      <c r="F357" s="1">
        <v>44767</v>
      </c>
      <c r="G357">
        <v>31</v>
      </c>
      <c r="H357" s="36" t="s">
        <v>61</v>
      </c>
      <c r="I357" s="48" t="s">
        <v>120</v>
      </c>
      <c r="J357" s="48" t="s">
        <v>120</v>
      </c>
      <c r="O357"/>
    </row>
    <row r="358" spans="1:15" x14ac:dyDescent="0.25">
      <c r="A358">
        <v>514</v>
      </c>
      <c r="B358">
        <v>11634</v>
      </c>
      <c r="C358" s="2">
        <v>190000</v>
      </c>
      <c r="D358" s="2">
        <v>190000</v>
      </c>
      <c r="E358" s="2">
        <v>0</v>
      </c>
      <c r="F358" s="1">
        <v>44764</v>
      </c>
      <c r="G358">
        <v>30</v>
      </c>
      <c r="H358" s="36" t="s">
        <v>63</v>
      </c>
      <c r="I358" s="48"/>
      <c r="J358" s="48"/>
      <c r="O358"/>
    </row>
    <row r="359" spans="1:15" x14ac:dyDescent="0.25">
      <c r="A359">
        <v>703</v>
      </c>
      <c r="B359">
        <v>11634</v>
      </c>
      <c r="C359" s="2">
        <v>1520000</v>
      </c>
      <c r="D359" s="2">
        <v>1520000</v>
      </c>
      <c r="E359" s="2">
        <v>0</v>
      </c>
      <c r="F359" s="1">
        <v>44764</v>
      </c>
      <c r="G359">
        <v>30</v>
      </c>
      <c r="H359" s="36" t="s">
        <v>123</v>
      </c>
      <c r="I359" s="48" t="s">
        <v>117</v>
      </c>
      <c r="J359" s="48"/>
      <c r="O359"/>
    </row>
    <row r="360" spans="1:15" x14ac:dyDescent="0.25">
      <c r="A360">
        <v>501</v>
      </c>
      <c r="B360">
        <v>11629</v>
      </c>
      <c r="C360" s="2">
        <v>588827.4</v>
      </c>
      <c r="D360" s="2">
        <v>669122.05000000005</v>
      </c>
      <c r="E360" s="2">
        <v>26764.89</v>
      </c>
      <c r="F360" s="1">
        <v>44761</v>
      </c>
      <c r="G360">
        <v>30</v>
      </c>
      <c r="H360" s="36" t="s">
        <v>61</v>
      </c>
      <c r="I360" s="48" t="s">
        <v>120</v>
      </c>
      <c r="J360" s="48" t="s">
        <v>120</v>
      </c>
      <c r="O360"/>
    </row>
    <row r="361" spans="1:15" x14ac:dyDescent="0.25">
      <c r="A361">
        <v>502</v>
      </c>
      <c r="B361">
        <v>11630</v>
      </c>
      <c r="C361" s="2">
        <v>56399.44</v>
      </c>
      <c r="D361" s="2">
        <v>1409986.03</v>
      </c>
      <c r="E361" s="2">
        <v>0</v>
      </c>
      <c r="F361" s="1">
        <v>44761</v>
      </c>
      <c r="G361">
        <v>30</v>
      </c>
      <c r="H361" s="36" t="s">
        <v>61</v>
      </c>
      <c r="I361" s="48" t="s">
        <v>120</v>
      </c>
      <c r="J361" s="48" t="s">
        <v>120</v>
      </c>
      <c r="O361"/>
    </row>
    <row r="362" spans="1:15" x14ac:dyDescent="0.25">
      <c r="A362">
        <v>504</v>
      </c>
      <c r="B362">
        <v>11631</v>
      </c>
      <c r="C362" s="2">
        <v>43224.83</v>
      </c>
      <c r="D362" s="2">
        <v>1440827.8</v>
      </c>
      <c r="E362" s="2">
        <v>0</v>
      </c>
      <c r="F362" s="1">
        <v>44761</v>
      </c>
      <c r="G362">
        <v>30</v>
      </c>
      <c r="H362" s="36" t="s">
        <v>61</v>
      </c>
      <c r="I362" s="48" t="s">
        <v>120</v>
      </c>
      <c r="J362" s="48" t="s">
        <v>120</v>
      </c>
      <c r="O362"/>
    </row>
    <row r="363" spans="1:15" x14ac:dyDescent="0.25">
      <c r="A363">
        <v>508</v>
      </c>
      <c r="B363">
        <v>11627</v>
      </c>
      <c r="C363" s="2">
        <v>1174454.3</v>
      </c>
      <c r="D363" s="2">
        <v>9505320</v>
      </c>
      <c r="E363" s="2">
        <v>24857.85</v>
      </c>
      <c r="F363" s="1">
        <v>44760</v>
      </c>
      <c r="G363">
        <v>30</v>
      </c>
      <c r="H363" s="36" t="s">
        <v>63</v>
      </c>
      <c r="I363" s="48" t="s">
        <v>117</v>
      </c>
      <c r="J363" s="48" t="s">
        <v>115</v>
      </c>
      <c r="O363"/>
    </row>
    <row r="364" spans="1:15" x14ac:dyDescent="0.25">
      <c r="A364">
        <v>508</v>
      </c>
      <c r="B364">
        <v>11628</v>
      </c>
      <c r="C364" s="2">
        <v>1174454.3</v>
      </c>
      <c r="D364" s="2">
        <v>9505320</v>
      </c>
      <c r="E364" s="2">
        <v>24857.85</v>
      </c>
      <c r="F364" s="1">
        <v>44760</v>
      </c>
      <c r="G364">
        <v>30</v>
      </c>
      <c r="H364" s="36" t="s">
        <v>63</v>
      </c>
      <c r="I364" s="48" t="s">
        <v>117</v>
      </c>
      <c r="J364" s="48" t="s">
        <v>115</v>
      </c>
      <c r="O364"/>
    </row>
    <row r="365" spans="1:15" x14ac:dyDescent="0.25">
      <c r="A365">
        <v>334</v>
      </c>
      <c r="B365">
        <v>11621</v>
      </c>
      <c r="C365" s="2">
        <v>360339.68</v>
      </c>
      <c r="D365" s="2">
        <v>697994.54</v>
      </c>
      <c r="E365" s="2">
        <v>1359608.58</v>
      </c>
      <c r="F365" s="1">
        <v>44757</v>
      </c>
      <c r="G365">
        <v>29</v>
      </c>
      <c r="H365" s="36" t="s">
        <v>59</v>
      </c>
      <c r="I365" s="48" t="s">
        <v>106</v>
      </c>
      <c r="J365" s="48" t="s">
        <v>107</v>
      </c>
      <c r="O365"/>
    </row>
    <row r="366" spans="1:15" x14ac:dyDescent="0.25">
      <c r="A366">
        <v>335</v>
      </c>
      <c r="B366">
        <v>11622</v>
      </c>
      <c r="C366" s="2">
        <v>360339.68</v>
      </c>
      <c r="D366" s="2">
        <v>1046991.81</v>
      </c>
      <c r="E366" s="2">
        <v>422366.01</v>
      </c>
      <c r="F366" s="1">
        <v>44757</v>
      </c>
      <c r="G366">
        <v>29</v>
      </c>
      <c r="H366" s="36" t="s">
        <v>59</v>
      </c>
      <c r="I366" s="48" t="s">
        <v>113</v>
      </c>
      <c r="J366" s="48"/>
      <c r="O366"/>
    </row>
    <row r="367" spans="1:15" x14ac:dyDescent="0.25">
      <c r="A367">
        <v>372</v>
      </c>
      <c r="B367">
        <v>11624</v>
      </c>
      <c r="C367" s="2">
        <v>1097183.8400000001</v>
      </c>
      <c r="D367" s="2">
        <v>7680286.8799999999</v>
      </c>
      <c r="E367" s="2">
        <v>0</v>
      </c>
      <c r="F367" s="1">
        <v>44757</v>
      </c>
      <c r="G367">
        <v>29</v>
      </c>
      <c r="H367" s="36" t="s">
        <v>98</v>
      </c>
      <c r="I367" s="48"/>
      <c r="J367" s="48"/>
      <c r="O367"/>
    </row>
    <row r="368" spans="1:15" x14ac:dyDescent="0.25">
      <c r="A368">
        <v>502</v>
      </c>
      <c r="B368">
        <v>11617</v>
      </c>
      <c r="C368" s="2">
        <v>84599.16</v>
      </c>
      <c r="D368" s="2">
        <v>1409986.03</v>
      </c>
      <c r="E368" s="2">
        <v>0</v>
      </c>
      <c r="F368" s="1">
        <v>44757</v>
      </c>
      <c r="G368">
        <v>29</v>
      </c>
      <c r="H368" s="36" t="s">
        <v>61</v>
      </c>
      <c r="I368" s="48" t="s">
        <v>120</v>
      </c>
      <c r="J368" s="48" t="s">
        <v>120</v>
      </c>
      <c r="O368"/>
    </row>
    <row r="369" spans="1:15" x14ac:dyDescent="0.25">
      <c r="A369">
        <v>695</v>
      </c>
      <c r="B369">
        <v>11625</v>
      </c>
      <c r="C369" s="2">
        <v>39545.46</v>
      </c>
      <c r="D369" s="2">
        <v>39545.46</v>
      </c>
      <c r="E369" s="2">
        <v>0</v>
      </c>
      <c r="F369" s="1">
        <v>44757</v>
      </c>
      <c r="G369">
        <v>29</v>
      </c>
      <c r="H369" s="36" t="s">
        <v>59</v>
      </c>
      <c r="I369" s="48" t="s">
        <v>113</v>
      </c>
      <c r="J369" s="48"/>
      <c r="O369"/>
    </row>
    <row r="370" spans="1:15" x14ac:dyDescent="0.25">
      <c r="A370">
        <v>500</v>
      </c>
      <c r="B370">
        <v>11614</v>
      </c>
      <c r="C370" s="2">
        <v>273757.28000000003</v>
      </c>
      <c r="D370" s="2">
        <v>1440827.8</v>
      </c>
      <c r="E370" s="2">
        <v>0</v>
      </c>
      <c r="F370" s="1">
        <v>44756</v>
      </c>
      <c r="G370">
        <v>29</v>
      </c>
      <c r="H370" s="36" t="s">
        <v>61</v>
      </c>
      <c r="I370" s="48" t="s">
        <v>120</v>
      </c>
      <c r="J370" s="48" t="s">
        <v>120</v>
      </c>
      <c r="O370"/>
    </row>
    <row r="371" spans="1:15" x14ac:dyDescent="0.25">
      <c r="A371">
        <v>502</v>
      </c>
      <c r="B371">
        <v>11616</v>
      </c>
      <c r="C371" s="2">
        <v>84599.16</v>
      </c>
      <c r="D371" s="2">
        <v>1409986.03</v>
      </c>
      <c r="E371" s="2">
        <v>0</v>
      </c>
      <c r="F371" s="1">
        <v>44756</v>
      </c>
      <c r="G371">
        <v>29</v>
      </c>
      <c r="H371" s="36" t="s">
        <v>61</v>
      </c>
      <c r="I371" s="48" t="s">
        <v>120</v>
      </c>
      <c r="J371" s="48" t="s">
        <v>120</v>
      </c>
      <c r="O371"/>
    </row>
    <row r="372" spans="1:15" x14ac:dyDescent="0.25">
      <c r="A372">
        <v>665</v>
      </c>
      <c r="B372">
        <v>11612</v>
      </c>
      <c r="C372" s="2">
        <v>33740.71</v>
      </c>
      <c r="D372" s="2">
        <v>33740.71</v>
      </c>
      <c r="E372" s="2">
        <v>96533.87</v>
      </c>
      <c r="F372" s="1">
        <v>44755</v>
      </c>
      <c r="G372">
        <v>29</v>
      </c>
      <c r="H372" s="36" t="s">
        <v>64</v>
      </c>
      <c r="I372" s="48"/>
      <c r="J372" s="48"/>
      <c r="O372"/>
    </row>
    <row r="373" spans="1:15" x14ac:dyDescent="0.25">
      <c r="A373">
        <v>669</v>
      </c>
      <c r="B373">
        <v>11612</v>
      </c>
      <c r="C373" s="2">
        <v>62793.16</v>
      </c>
      <c r="D373" s="2">
        <v>125586.32</v>
      </c>
      <c r="E373" s="2">
        <v>62793.16</v>
      </c>
      <c r="F373" s="1">
        <v>44755</v>
      </c>
      <c r="G373">
        <v>29</v>
      </c>
      <c r="H373" s="36" t="s">
        <v>64</v>
      </c>
      <c r="I373" s="48"/>
      <c r="J373" s="48"/>
      <c r="O373"/>
    </row>
    <row r="374" spans="1:15" x14ac:dyDescent="0.25">
      <c r="A374">
        <v>669</v>
      </c>
      <c r="B374">
        <v>11613</v>
      </c>
      <c r="C374" s="2">
        <v>62793.16</v>
      </c>
      <c r="D374" s="2">
        <v>125586.32</v>
      </c>
      <c r="E374" s="2">
        <v>62793.16</v>
      </c>
      <c r="F374" s="1">
        <v>44755</v>
      </c>
      <c r="G374">
        <v>29</v>
      </c>
      <c r="H374" s="36" t="s">
        <v>64</v>
      </c>
      <c r="I374" s="48"/>
      <c r="J374" s="48"/>
      <c r="O374"/>
    </row>
    <row r="375" spans="1:15" x14ac:dyDescent="0.25">
      <c r="A375">
        <v>367</v>
      </c>
      <c r="B375">
        <v>11611</v>
      </c>
      <c r="C375" s="2">
        <v>75040.850000000006</v>
      </c>
      <c r="D375" s="2">
        <v>13896453.720000001</v>
      </c>
      <c r="E375" s="2">
        <v>4162190.1</v>
      </c>
      <c r="F375" s="1">
        <v>44754</v>
      </c>
      <c r="G375">
        <v>29</v>
      </c>
      <c r="H375" s="36" t="s">
        <v>64</v>
      </c>
      <c r="I375" s="48" t="s">
        <v>117</v>
      </c>
      <c r="J375" s="48" t="s">
        <v>115</v>
      </c>
      <c r="O375"/>
    </row>
    <row r="376" spans="1:15" x14ac:dyDescent="0.25">
      <c r="A376">
        <v>369</v>
      </c>
      <c r="B376">
        <v>11611</v>
      </c>
      <c r="C376" s="2">
        <v>39135.620000000003</v>
      </c>
      <c r="D376" s="2">
        <v>4076627.31</v>
      </c>
      <c r="E376" s="2">
        <v>46881.22</v>
      </c>
      <c r="F376" s="1">
        <v>44754</v>
      </c>
      <c r="G376">
        <v>29</v>
      </c>
      <c r="H376" s="36" t="s">
        <v>64</v>
      </c>
      <c r="I376" s="48" t="s">
        <v>117</v>
      </c>
      <c r="J376" s="48" t="s">
        <v>115</v>
      </c>
      <c r="O376"/>
    </row>
    <row r="377" spans="1:15" x14ac:dyDescent="0.25">
      <c r="A377">
        <v>608</v>
      </c>
      <c r="B377">
        <v>330</v>
      </c>
      <c r="C377" s="2">
        <v>450983.58</v>
      </c>
      <c r="D377" s="2">
        <v>3318540</v>
      </c>
      <c r="E377" s="2">
        <v>0</v>
      </c>
      <c r="F377" s="1">
        <v>44754</v>
      </c>
      <c r="G377">
        <v>29</v>
      </c>
      <c r="H377" s="36" t="s">
        <v>61</v>
      </c>
      <c r="I377" s="48" t="s">
        <v>120</v>
      </c>
      <c r="J377" s="48" t="s">
        <v>120</v>
      </c>
      <c r="O377"/>
    </row>
    <row r="378" spans="1:15" x14ac:dyDescent="0.25">
      <c r="A378">
        <v>696</v>
      </c>
      <c r="B378">
        <v>328</v>
      </c>
      <c r="C378" s="2">
        <v>11995.14</v>
      </c>
      <c r="D378" s="2">
        <v>13794.41</v>
      </c>
      <c r="E378" s="2">
        <v>0</v>
      </c>
      <c r="F378" s="1">
        <v>44753</v>
      </c>
      <c r="G378">
        <v>29</v>
      </c>
      <c r="H378" s="36" t="s">
        <v>54</v>
      </c>
      <c r="I378" s="48"/>
      <c r="J378" s="48"/>
      <c r="O378"/>
    </row>
    <row r="379" spans="1:15" x14ac:dyDescent="0.25">
      <c r="A379">
        <v>452</v>
      </c>
      <c r="B379">
        <v>11597</v>
      </c>
      <c r="C379" s="2">
        <v>95628.09</v>
      </c>
      <c r="D379" s="2">
        <v>97248.9</v>
      </c>
      <c r="E379" s="2">
        <v>1620.81</v>
      </c>
      <c r="F379" s="1">
        <v>44748</v>
      </c>
      <c r="G379">
        <v>28</v>
      </c>
      <c r="H379" s="36" t="s">
        <v>56</v>
      </c>
      <c r="I379" s="48"/>
      <c r="J379" s="48"/>
      <c r="O379"/>
    </row>
    <row r="380" spans="1:15" x14ac:dyDescent="0.25">
      <c r="A380">
        <v>454</v>
      </c>
      <c r="B380">
        <v>11598</v>
      </c>
      <c r="C380" s="2">
        <v>95628.09</v>
      </c>
      <c r="D380" s="2">
        <v>97248.9</v>
      </c>
      <c r="E380" s="2">
        <v>1620.81</v>
      </c>
      <c r="F380" s="1">
        <v>44748</v>
      </c>
      <c r="G380">
        <v>28</v>
      </c>
      <c r="H380" s="36" t="s">
        <v>56</v>
      </c>
      <c r="I380" s="48"/>
      <c r="J380" s="48"/>
      <c r="O380"/>
    </row>
    <row r="381" spans="1:15" x14ac:dyDescent="0.25">
      <c r="A381">
        <v>458</v>
      </c>
      <c r="B381">
        <v>11599</v>
      </c>
      <c r="C381" s="2">
        <v>95628.09</v>
      </c>
      <c r="D381" s="2">
        <v>97248.9</v>
      </c>
      <c r="E381" s="2">
        <v>1620.81</v>
      </c>
      <c r="F381" s="1">
        <v>44748</v>
      </c>
      <c r="G381">
        <v>28</v>
      </c>
      <c r="H381" s="36" t="s">
        <v>56</v>
      </c>
      <c r="I381" s="48"/>
      <c r="J381" s="48"/>
      <c r="O381"/>
    </row>
    <row r="382" spans="1:15" x14ac:dyDescent="0.25">
      <c r="A382">
        <v>466</v>
      </c>
      <c r="B382">
        <v>11600</v>
      </c>
      <c r="C382" s="2">
        <v>95628.09</v>
      </c>
      <c r="D382" s="2">
        <v>97248.9</v>
      </c>
      <c r="E382" s="2">
        <v>1620.81</v>
      </c>
      <c r="F382" s="1">
        <v>44748</v>
      </c>
      <c r="G382">
        <v>28</v>
      </c>
      <c r="H382" s="36" t="s">
        <v>56</v>
      </c>
      <c r="I382" s="48"/>
      <c r="J382" s="48"/>
      <c r="O382"/>
    </row>
    <row r="383" spans="1:15" x14ac:dyDescent="0.25">
      <c r="A383">
        <v>474</v>
      </c>
      <c r="B383">
        <v>11601</v>
      </c>
      <c r="C383" s="2">
        <v>95628.09</v>
      </c>
      <c r="D383" s="2">
        <v>97248.9</v>
      </c>
      <c r="E383" s="2">
        <v>1620.81</v>
      </c>
      <c r="F383" s="1">
        <v>44748</v>
      </c>
      <c r="G383">
        <v>28</v>
      </c>
      <c r="H383" s="36" t="s">
        <v>56</v>
      </c>
      <c r="I383" s="48"/>
      <c r="J383" s="48"/>
      <c r="O383"/>
    </row>
    <row r="384" spans="1:15" x14ac:dyDescent="0.25">
      <c r="A384">
        <v>476</v>
      </c>
      <c r="B384">
        <v>11602</v>
      </c>
      <c r="C384" s="2">
        <v>95628.09</v>
      </c>
      <c r="D384" s="2">
        <v>97248.9</v>
      </c>
      <c r="E384" s="2">
        <v>1620.81</v>
      </c>
      <c r="F384" s="1">
        <v>44748</v>
      </c>
      <c r="G384">
        <v>28</v>
      </c>
      <c r="H384" s="36" t="s">
        <v>56</v>
      </c>
      <c r="I384" s="48"/>
      <c r="J384" s="48"/>
      <c r="O384"/>
    </row>
    <row r="385" spans="1:15" x14ac:dyDescent="0.25">
      <c r="A385">
        <v>478</v>
      </c>
      <c r="B385">
        <v>11603</v>
      </c>
      <c r="C385" s="2">
        <v>95628.09</v>
      </c>
      <c r="D385" s="2">
        <v>97248.9</v>
      </c>
      <c r="E385" s="2">
        <v>1620.81</v>
      </c>
      <c r="F385" s="1">
        <v>44748</v>
      </c>
      <c r="G385">
        <v>28</v>
      </c>
      <c r="H385" s="36" t="s">
        <v>56</v>
      </c>
      <c r="I385" s="48" t="s">
        <v>121</v>
      </c>
      <c r="J385" s="48"/>
      <c r="O385"/>
    </row>
    <row r="386" spans="1:15" x14ac:dyDescent="0.25">
      <c r="A386">
        <v>480</v>
      </c>
      <c r="B386">
        <v>11604</v>
      </c>
      <c r="C386" s="2">
        <v>95628.09</v>
      </c>
      <c r="D386" s="2">
        <v>97248.9</v>
      </c>
      <c r="E386" s="2">
        <v>1620.81</v>
      </c>
      <c r="F386" s="1">
        <v>44748</v>
      </c>
      <c r="G386">
        <v>28</v>
      </c>
      <c r="H386" s="36" t="s">
        <v>56</v>
      </c>
      <c r="I386" s="48"/>
      <c r="J386" s="48"/>
      <c r="O386"/>
    </row>
    <row r="387" spans="1:15" x14ac:dyDescent="0.25">
      <c r="A387">
        <v>508</v>
      </c>
      <c r="B387">
        <v>11596</v>
      </c>
      <c r="C387" s="2">
        <v>569138.24</v>
      </c>
      <c r="D387" s="2">
        <v>9505320</v>
      </c>
      <c r="E387" s="2">
        <v>24857.85</v>
      </c>
      <c r="F387" s="1">
        <v>44748</v>
      </c>
      <c r="G387">
        <v>28</v>
      </c>
      <c r="H387" s="36" t="s">
        <v>63</v>
      </c>
      <c r="I387" s="48" t="s">
        <v>117</v>
      </c>
      <c r="J387" s="48" t="s">
        <v>115</v>
      </c>
      <c r="O387"/>
    </row>
    <row r="388" spans="1:15" x14ac:dyDescent="0.25">
      <c r="A388">
        <v>519</v>
      </c>
      <c r="B388">
        <v>11605</v>
      </c>
      <c r="C388" s="2">
        <v>120347.5</v>
      </c>
      <c r="D388" s="2">
        <v>122387.29</v>
      </c>
      <c r="E388" s="2">
        <v>2039.79</v>
      </c>
      <c r="F388" s="1">
        <v>44748</v>
      </c>
      <c r="G388">
        <v>28</v>
      </c>
      <c r="H388" s="36" t="s">
        <v>56</v>
      </c>
      <c r="I388" s="48"/>
      <c r="J388" s="48"/>
      <c r="O388"/>
    </row>
    <row r="389" spans="1:15" x14ac:dyDescent="0.25">
      <c r="A389">
        <v>520</v>
      </c>
      <c r="B389">
        <v>11605</v>
      </c>
      <c r="C389" s="2">
        <v>120347.5</v>
      </c>
      <c r="D389" s="2">
        <v>122387.29</v>
      </c>
      <c r="E389" s="2">
        <v>2039.79</v>
      </c>
      <c r="F389" s="1">
        <v>44748</v>
      </c>
      <c r="G389">
        <v>28</v>
      </c>
      <c r="H389" s="36" t="s">
        <v>56</v>
      </c>
      <c r="I389" s="48"/>
      <c r="J389" s="48"/>
      <c r="O389"/>
    </row>
    <row r="390" spans="1:15" x14ac:dyDescent="0.25">
      <c r="A390">
        <v>521</v>
      </c>
      <c r="B390">
        <v>11605</v>
      </c>
      <c r="C390" s="2">
        <v>120347.5</v>
      </c>
      <c r="D390" s="2">
        <v>122387.29</v>
      </c>
      <c r="E390" s="2">
        <v>2039.79</v>
      </c>
      <c r="F390" s="1">
        <v>44748</v>
      </c>
      <c r="G390">
        <v>28</v>
      </c>
      <c r="H390" s="36" t="s">
        <v>56</v>
      </c>
      <c r="I390" s="48" t="s">
        <v>106</v>
      </c>
      <c r="J390" s="48" t="s">
        <v>107</v>
      </c>
      <c r="O390"/>
    </row>
    <row r="391" spans="1:15" x14ac:dyDescent="0.25">
      <c r="A391">
        <v>529</v>
      </c>
      <c r="B391">
        <v>11605</v>
      </c>
      <c r="C391" s="2">
        <v>120347.5</v>
      </c>
      <c r="D391" s="2">
        <v>122387.29</v>
      </c>
      <c r="E391" s="2">
        <v>2039.79</v>
      </c>
      <c r="F391" s="1">
        <v>44748</v>
      </c>
      <c r="G391">
        <v>28</v>
      </c>
      <c r="H391" s="36" t="s">
        <v>56</v>
      </c>
      <c r="I391" s="48"/>
      <c r="J391" s="48"/>
      <c r="O391"/>
    </row>
    <row r="392" spans="1:15" x14ac:dyDescent="0.25">
      <c r="A392">
        <v>500</v>
      </c>
      <c r="B392">
        <v>11595</v>
      </c>
      <c r="C392" s="2">
        <v>43224.83</v>
      </c>
      <c r="D392" s="2">
        <v>1440827.8</v>
      </c>
      <c r="E392" s="2">
        <v>0</v>
      </c>
      <c r="F392" s="1">
        <v>44747</v>
      </c>
      <c r="G392">
        <v>28</v>
      </c>
      <c r="H392" s="36" t="s">
        <v>61</v>
      </c>
      <c r="I392" s="48" t="s">
        <v>120</v>
      </c>
      <c r="J392" s="48" t="s">
        <v>120</v>
      </c>
      <c r="O392"/>
    </row>
    <row r="393" spans="1:15" x14ac:dyDescent="0.25">
      <c r="A393">
        <v>502</v>
      </c>
      <c r="B393">
        <v>11594</v>
      </c>
      <c r="C393" s="2">
        <v>324296.78999999998</v>
      </c>
      <c r="D393" s="2">
        <v>1409986.03</v>
      </c>
      <c r="E393" s="2">
        <v>0</v>
      </c>
      <c r="F393" s="1">
        <v>44747</v>
      </c>
      <c r="G393">
        <v>28</v>
      </c>
      <c r="H393" s="36" t="s">
        <v>61</v>
      </c>
      <c r="I393" s="48" t="s">
        <v>120</v>
      </c>
      <c r="J393" s="48" t="s">
        <v>120</v>
      </c>
      <c r="O393"/>
    </row>
    <row r="394" spans="1:15" x14ac:dyDescent="0.25">
      <c r="A394">
        <v>367</v>
      </c>
      <c r="B394">
        <v>11590</v>
      </c>
      <c r="C394" s="2">
        <v>152860.99</v>
      </c>
      <c r="D394" s="2">
        <v>13896453.720000001</v>
      </c>
      <c r="E394" s="2">
        <v>4162190.1</v>
      </c>
      <c r="F394" s="1">
        <v>44746</v>
      </c>
      <c r="G394">
        <v>28</v>
      </c>
      <c r="H394" s="36" t="s">
        <v>64</v>
      </c>
      <c r="I394" s="48" t="s">
        <v>117</v>
      </c>
      <c r="J394" s="48" t="s">
        <v>115</v>
      </c>
      <c r="O394"/>
    </row>
    <row r="395" spans="1:15" x14ac:dyDescent="0.25">
      <c r="A395">
        <v>369</v>
      </c>
      <c r="B395">
        <v>11590</v>
      </c>
      <c r="C395" s="2">
        <v>82347.87</v>
      </c>
      <c r="D395" s="2">
        <v>4076627.31</v>
      </c>
      <c r="E395" s="2">
        <v>46881.22</v>
      </c>
      <c r="F395" s="1">
        <v>44746</v>
      </c>
      <c r="G395">
        <v>28</v>
      </c>
      <c r="H395" s="36" t="s">
        <v>64</v>
      </c>
      <c r="I395" s="48" t="s">
        <v>117</v>
      </c>
      <c r="J395" s="48" t="s">
        <v>115</v>
      </c>
      <c r="O395"/>
    </row>
    <row r="396" spans="1:15" x14ac:dyDescent="0.25">
      <c r="A396">
        <v>504</v>
      </c>
      <c r="B396">
        <v>11585</v>
      </c>
      <c r="C396" s="2">
        <v>691597.34</v>
      </c>
      <c r="D396" s="2">
        <v>1440827.8</v>
      </c>
      <c r="E396" s="2">
        <v>0</v>
      </c>
      <c r="F396" s="1">
        <v>44742</v>
      </c>
      <c r="G396">
        <v>27</v>
      </c>
      <c r="H396" s="36" t="s">
        <v>61</v>
      </c>
      <c r="I396" s="48" t="s">
        <v>120</v>
      </c>
      <c r="J396" s="48" t="s">
        <v>120</v>
      </c>
      <c r="O396"/>
    </row>
    <row r="397" spans="1:15" x14ac:dyDescent="0.25">
      <c r="A397">
        <v>367</v>
      </c>
      <c r="B397">
        <v>11578</v>
      </c>
      <c r="C397" s="2">
        <v>152860.99</v>
      </c>
      <c r="D397" s="2">
        <v>13896453.720000001</v>
      </c>
      <c r="E397" s="2">
        <v>4162190.1</v>
      </c>
      <c r="F397" s="1">
        <v>44741</v>
      </c>
      <c r="G397">
        <v>27</v>
      </c>
      <c r="H397" s="36" t="s">
        <v>64</v>
      </c>
      <c r="I397" s="48" t="s">
        <v>117</v>
      </c>
      <c r="J397" s="48" t="s">
        <v>115</v>
      </c>
      <c r="O397"/>
    </row>
    <row r="398" spans="1:15" x14ac:dyDescent="0.25">
      <c r="A398">
        <v>369</v>
      </c>
      <c r="B398">
        <v>11578</v>
      </c>
      <c r="C398" s="2">
        <v>82347.87</v>
      </c>
      <c r="D398" s="2">
        <v>4076627.31</v>
      </c>
      <c r="E398" s="2">
        <v>46881.22</v>
      </c>
      <c r="F398" s="1">
        <v>44741</v>
      </c>
      <c r="G398">
        <v>27</v>
      </c>
      <c r="H398" s="36" t="s">
        <v>64</v>
      </c>
      <c r="I398" s="48" t="s">
        <v>117</v>
      </c>
      <c r="J398" s="48" t="s">
        <v>115</v>
      </c>
      <c r="O398"/>
    </row>
    <row r="399" spans="1:15" x14ac:dyDescent="0.25">
      <c r="A399">
        <v>504</v>
      </c>
      <c r="B399">
        <v>11580</v>
      </c>
      <c r="C399" s="2">
        <v>43224.83</v>
      </c>
      <c r="D399" s="2">
        <v>1440827.8</v>
      </c>
      <c r="E399" s="2">
        <v>0</v>
      </c>
      <c r="F399" s="1">
        <v>44741</v>
      </c>
      <c r="G399">
        <v>27</v>
      </c>
      <c r="H399" s="36" t="s">
        <v>61</v>
      </c>
      <c r="I399" s="48" t="s">
        <v>120</v>
      </c>
      <c r="J399" s="48" t="s">
        <v>120</v>
      </c>
      <c r="O399"/>
    </row>
    <row r="400" spans="1:15" x14ac:dyDescent="0.25">
      <c r="A400">
        <v>508</v>
      </c>
      <c r="B400">
        <v>11581</v>
      </c>
      <c r="C400" s="2">
        <v>149665.58000000002</v>
      </c>
      <c r="D400" s="2">
        <v>9505320</v>
      </c>
      <c r="E400" s="2">
        <v>24857.85</v>
      </c>
      <c r="F400" s="1">
        <v>44741</v>
      </c>
      <c r="G400">
        <v>27</v>
      </c>
      <c r="H400" s="36" t="s">
        <v>63</v>
      </c>
      <c r="I400" s="48" t="s">
        <v>117</v>
      </c>
      <c r="J400" s="48" t="s">
        <v>115</v>
      </c>
      <c r="O400"/>
    </row>
    <row r="401" spans="1:15" x14ac:dyDescent="0.25">
      <c r="A401">
        <v>367</v>
      </c>
      <c r="B401">
        <v>11577</v>
      </c>
      <c r="C401" s="2">
        <v>230681.13</v>
      </c>
      <c r="D401" s="2">
        <v>13896453.720000001</v>
      </c>
      <c r="E401" s="2">
        <v>4162190.1</v>
      </c>
      <c r="F401" s="1">
        <v>44740</v>
      </c>
      <c r="G401">
        <v>27</v>
      </c>
      <c r="H401" s="36" t="s">
        <v>64</v>
      </c>
      <c r="I401" s="48" t="s">
        <v>117</v>
      </c>
      <c r="J401" s="48" t="s">
        <v>115</v>
      </c>
      <c r="O401"/>
    </row>
    <row r="402" spans="1:15" x14ac:dyDescent="0.25">
      <c r="A402">
        <v>369</v>
      </c>
      <c r="B402">
        <v>11577</v>
      </c>
      <c r="C402" s="2">
        <v>123521.81</v>
      </c>
      <c r="D402" s="2">
        <v>4076627.31</v>
      </c>
      <c r="E402" s="2">
        <v>46881.22</v>
      </c>
      <c r="F402" s="1">
        <v>44740</v>
      </c>
      <c r="G402">
        <v>27</v>
      </c>
      <c r="H402" s="36" t="s">
        <v>64</v>
      </c>
      <c r="I402" s="48" t="s">
        <v>117</v>
      </c>
      <c r="J402" s="48" t="s">
        <v>115</v>
      </c>
      <c r="O402"/>
    </row>
    <row r="403" spans="1:15" x14ac:dyDescent="0.25">
      <c r="A403">
        <v>508</v>
      </c>
      <c r="B403">
        <v>11574</v>
      </c>
      <c r="C403" s="2">
        <v>612891.51</v>
      </c>
      <c r="D403" s="2">
        <v>9505320</v>
      </c>
      <c r="E403" s="2">
        <v>24857.85</v>
      </c>
      <c r="F403" s="1">
        <v>44739</v>
      </c>
      <c r="G403">
        <v>27</v>
      </c>
      <c r="H403" s="36" t="s">
        <v>63</v>
      </c>
      <c r="I403" s="48" t="s">
        <v>117</v>
      </c>
      <c r="J403" s="48" t="s">
        <v>115</v>
      </c>
      <c r="O403"/>
    </row>
    <row r="404" spans="1:15" x14ac:dyDescent="0.25">
      <c r="A404">
        <v>508</v>
      </c>
      <c r="B404">
        <v>11575</v>
      </c>
      <c r="C404" s="2">
        <v>612891.51</v>
      </c>
      <c r="D404" s="2">
        <v>9505320</v>
      </c>
      <c r="E404" s="2">
        <v>24857.85</v>
      </c>
      <c r="F404" s="1">
        <v>44739</v>
      </c>
      <c r="G404">
        <v>27</v>
      </c>
      <c r="H404" s="36" t="s">
        <v>63</v>
      </c>
      <c r="I404" s="48" t="s">
        <v>117</v>
      </c>
      <c r="J404" s="48" t="s">
        <v>115</v>
      </c>
      <c r="O404"/>
    </row>
    <row r="405" spans="1:15" x14ac:dyDescent="0.25">
      <c r="A405">
        <v>334</v>
      </c>
      <c r="B405">
        <v>11569</v>
      </c>
      <c r="C405" s="2">
        <v>-360339.68</v>
      </c>
      <c r="D405" s="2">
        <v>697994.54</v>
      </c>
      <c r="E405" s="2">
        <v>1359608.58</v>
      </c>
      <c r="F405" s="1">
        <v>44735</v>
      </c>
      <c r="G405">
        <v>26</v>
      </c>
      <c r="H405" s="36" t="s">
        <v>59</v>
      </c>
      <c r="I405" s="48" t="s">
        <v>106</v>
      </c>
      <c r="J405" s="48" t="s">
        <v>107</v>
      </c>
      <c r="O405"/>
    </row>
    <row r="406" spans="1:15" x14ac:dyDescent="0.25">
      <c r="A406">
        <v>334</v>
      </c>
      <c r="B406">
        <v>11569</v>
      </c>
      <c r="C406" s="2">
        <v>-158807.78</v>
      </c>
      <c r="D406" s="2">
        <v>697994.54</v>
      </c>
      <c r="E406" s="2">
        <v>1359608.58</v>
      </c>
      <c r="F406" s="1">
        <v>44735</v>
      </c>
      <c r="G406">
        <v>26</v>
      </c>
      <c r="H406" s="36" t="s">
        <v>59</v>
      </c>
      <c r="I406" s="48" t="s">
        <v>106</v>
      </c>
      <c r="J406" s="48" t="s">
        <v>107</v>
      </c>
      <c r="O406"/>
    </row>
    <row r="407" spans="1:15" x14ac:dyDescent="0.25">
      <c r="A407">
        <v>363</v>
      </c>
      <c r="B407">
        <v>11566</v>
      </c>
      <c r="C407" s="2">
        <v>938160</v>
      </c>
      <c r="D407" s="2">
        <v>7505280</v>
      </c>
      <c r="E407" s="2">
        <v>0</v>
      </c>
      <c r="F407" s="1">
        <v>44734</v>
      </c>
      <c r="G407">
        <v>26</v>
      </c>
      <c r="H407" s="36" t="s">
        <v>98</v>
      </c>
      <c r="I407" s="48" t="s">
        <v>114</v>
      </c>
      <c r="J407" s="48" t="s">
        <v>115</v>
      </c>
      <c r="O407"/>
    </row>
    <row r="408" spans="1:15" x14ac:dyDescent="0.25">
      <c r="A408">
        <v>500</v>
      </c>
      <c r="B408">
        <v>11565</v>
      </c>
      <c r="C408" s="2">
        <v>201715.89</v>
      </c>
      <c r="D408" s="2">
        <v>1440827.8</v>
      </c>
      <c r="E408" s="2">
        <v>0</v>
      </c>
      <c r="F408" s="1">
        <v>44734</v>
      </c>
      <c r="G408">
        <v>26</v>
      </c>
      <c r="H408" s="36" t="s">
        <v>61</v>
      </c>
      <c r="I408" s="48" t="s">
        <v>120</v>
      </c>
      <c r="J408" s="48" t="s">
        <v>120</v>
      </c>
      <c r="O408"/>
    </row>
    <row r="409" spans="1:15" x14ac:dyDescent="0.25">
      <c r="A409">
        <v>508</v>
      </c>
      <c r="B409">
        <v>11564</v>
      </c>
      <c r="C409" s="2">
        <v>533162.04</v>
      </c>
      <c r="D409" s="2">
        <v>9505320</v>
      </c>
      <c r="E409" s="2">
        <v>24857.85</v>
      </c>
      <c r="F409" s="1">
        <v>44734</v>
      </c>
      <c r="G409">
        <v>26</v>
      </c>
      <c r="H409" s="36" t="s">
        <v>63</v>
      </c>
      <c r="I409" s="48" t="s">
        <v>117</v>
      </c>
      <c r="J409" s="48" t="s">
        <v>115</v>
      </c>
      <c r="O409"/>
    </row>
    <row r="410" spans="1:15" x14ac:dyDescent="0.25">
      <c r="A410">
        <v>367</v>
      </c>
      <c r="B410">
        <v>11563</v>
      </c>
      <c r="C410" s="2">
        <v>230681.13</v>
      </c>
      <c r="D410" s="2">
        <v>13896453.720000001</v>
      </c>
      <c r="E410" s="2">
        <v>4162190.1</v>
      </c>
      <c r="F410" s="1">
        <v>44733</v>
      </c>
      <c r="G410">
        <v>26</v>
      </c>
      <c r="H410" s="36" t="s">
        <v>64</v>
      </c>
      <c r="I410" s="48" t="s">
        <v>117</v>
      </c>
      <c r="J410" s="48" t="s">
        <v>115</v>
      </c>
      <c r="O410"/>
    </row>
    <row r="411" spans="1:15" x14ac:dyDescent="0.25">
      <c r="A411">
        <v>369</v>
      </c>
      <c r="B411">
        <v>11563</v>
      </c>
      <c r="C411" s="2">
        <v>123521.81</v>
      </c>
      <c r="D411" s="2">
        <v>4076627.31</v>
      </c>
      <c r="E411" s="2">
        <v>46881.22</v>
      </c>
      <c r="F411" s="1">
        <v>44733</v>
      </c>
      <c r="G411">
        <v>26</v>
      </c>
      <c r="H411" s="36" t="s">
        <v>64</v>
      </c>
      <c r="I411" s="48" t="s">
        <v>117</v>
      </c>
      <c r="J411" s="48" t="s">
        <v>115</v>
      </c>
      <c r="O411"/>
    </row>
    <row r="412" spans="1:15" x14ac:dyDescent="0.25">
      <c r="A412">
        <v>413</v>
      </c>
      <c r="B412">
        <v>11558</v>
      </c>
      <c r="C412" s="2">
        <v>50799</v>
      </c>
      <c r="D412" s="2">
        <v>51660</v>
      </c>
      <c r="E412" s="2">
        <v>861</v>
      </c>
      <c r="F412" s="1">
        <v>44729</v>
      </c>
      <c r="G412">
        <v>25</v>
      </c>
      <c r="H412" s="36" t="s">
        <v>56</v>
      </c>
      <c r="I412" s="48" t="s">
        <v>106</v>
      </c>
      <c r="J412" s="48" t="s">
        <v>107</v>
      </c>
      <c r="O412"/>
    </row>
    <row r="413" spans="1:15" x14ac:dyDescent="0.25">
      <c r="A413">
        <v>423</v>
      </c>
      <c r="B413">
        <v>11557</v>
      </c>
      <c r="C413" s="2">
        <v>50799</v>
      </c>
      <c r="D413" s="2">
        <v>51660</v>
      </c>
      <c r="E413" s="2">
        <v>861</v>
      </c>
      <c r="F413" s="1">
        <v>44729</v>
      </c>
      <c r="G413">
        <v>25</v>
      </c>
      <c r="H413" s="36" t="s">
        <v>56</v>
      </c>
      <c r="I413" s="48"/>
      <c r="J413" s="48"/>
      <c r="O413"/>
    </row>
    <row r="414" spans="1:15" x14ac:dyDescent="0.25">
      <c r="A414">
        <v>425</v>
      </c>
      <c r="B414">
        <v>11552</v>
      </c>
      <c r="C414" s="2">
        <v>50799</v>
      </c>
      <c r="D414" s="2">
        <v>51660</v>
      </c>
      <c r="E414" s="2">
        <v>861</v>
      </c>
      <c r="F414" s="1">
        <v>44729</v>
      </c>
      <c r="G414">
        <v>25</v>
      </c>
      <c r="H414" s="36" t="s">
        <v>56</v>
      </c>
      <c r="I414" s="48"/>
      <c r="J414" s="48"/>
      <c r="O414"/>
    </row>
    <row r="415" spans="1:15" x14ac:dyDescent="0.25">
      <c r="A415">
        <v>453</v>
      </c>
      <c r="B415">
        <v>11553</v>
      </c>
      <c r="C415" s="2">
        <v>50799</v>
      </c>
      <c r="D415" s="2">
        <v>51660</v>
      </c>
      <c r="E415" s="2">
        <v>861</v>
      </c>
      <c r="F415" s="1">
        <v>44729</v>
      </c>
      <c r="G415">
        <v>25</v>
      </c>
      <c r="H415" s="36" t="s">
        <v>56</v>
      </c>
      <c r="I415" s="48"/>
      <c r="J415" s="48"/>
      <c r="O415"/>
    </row>
    <row r="416" spans="1:15" x14ac:dyDescent="0.25">
      <c r="A416">
        <v>455</v>
      </c>
      <c r="B416">
        <v>11554</v>
      </c>
      <c r="C416" s="2">
        <v>50799</v>
      </c>
      <c r="D416" s="2">
        <v>51660</v>
      </c>
      <c r="E416" s="2">
        <v>861</v>
      </c>
      <c r="F416" s="1">
        <v>44729</v>
      </c>
      <c r="G416">
        <v>25</v>
      </c>
      <c r="H416" s="36" t="s">
        <v>56</v>
      </c>
      <c r="I416" s="48"/>
      <c r="J416" s="48"/>
      <c r="O416"/>
    </row>
    <row r="417" spans="1:15" x14ac:dyDescent="0.25">
      <c r="A417">
        <v>461</v>
      </c>
      <c r="B417">
        <v>11556</v>
      </c>
      <c r="C417" s="2">
        <v>50799</v>
      </c>
      <c r="D417" s="2">
        <v>51660</v>
      </c>
      <c r="E417" s="2">
        <v>861</v>
      </c>
      <c r="F417" s="1">
        <v>44729</v>
      </c>
      <c r="G417">
        <v>25</v>
      </c>
      <c r="H417" s="36" t="s">
        <v>56</v>
      </c>
      <c r="I417" s="48"/>
      <c r="J417" s="48"/>
      <c r="O417"/>
    </row>
    <row r="418" spans="1:15" x14ac:dyDescent="0.25">
      <c r="A418">
        <v>517</v>
      </c>
      <c r="B418">
        <v>11550</v>
      </c>
      <c r="C418" s="2">
        <v>242904.57</v>
      </c>
      <c r="D418" s="2">
        <v>247021.59</v>
      </c>
      <c r="E418" s="2">
        <v>4117.0200000000004</v>
      </c>
      <c r="F418" s="1">
        <v>44729</v>
      </c>
      <c r="G418">
        <v>25</v>
      </c>
      <c r="H418" s="36" t="s">
        <v>56</v>
      </c>
      <c r="I418" s="48"/>
      <c r="J418" s="48"/>
      <c r="O418"/>
    </row>
    <row r="419" spans="1:15" x14ac:dyDescent="0.25">
      <c r="A419">
        <v>518</v>
      </c>
      <c r="B419">
        <v>11549</v>
      </c>
      <c r="C419" s="2">
        <v>121452.28</v>
      </c>
      <c r="D419" s="2">
        <v>123510.8</v>
      </c>
      <c r="E419" s="2">
        <v>2058.52</v>
      </c>
      <c r="F419" s="1">
        <v>44729</v>
      </c>
      <c r="G419">
        <v>25</v>
      </c>
      <c r="H419" s="36" t="s">
        <v>56</v>
      </c>
      <c r="I419" s="48"/>
      <c r="J419" s="48"/>
      <c r="O419"/>
    </row>
    <row r="420" spans="1:15" x14ac:dyDescent="0.25">
      <c r="A420">
        <v>674</v>
      </c>
      <c r="B420">
        <v>324</v>
      </c>
      <c r="C420" s="2">
        <v>45989.13</v>
      </c>
      <c r="D420" s="2">
        <v>45986.13</v>
      </c>
      <c r="E420" s="2">
        <v>0</v>
      </c>
      <c r="F420" s="1">
        <v>44729</v>
      </c>
      <c r="G420">
        <v>25</v>
      </c>
      <c r="H420" s="36" t="s">
        <v>100</v>
      </c>
      <c r="I420" s="48"/>
      <c r="J420" s="48"/>
      <c r="O420"/>
    </row>
    <row r="421" spans="1:15" x14ac:dyDescent="0.25">
      <c r="A421">
        <v>685</v>
      </c>
      <c r="B421">
        <v>325</v>
      </c>
      <c r="C421" s="2">
        <v>80000</v>
      </c>
      <c r="D421" s="2">
        <v>20000</v>
      </c>
      <c r="E421" s="2">
        <v>0</v>
      </c>
      <c r="F421" s="1">
        <v>44729</v>
      </c>
      <c r="G421">
        <v>25</v>
      </c>
      <c r="H421" s="36" t="s">
        <v>57</v>
      </c>
      <c r="I421" s="48" t="s">
        <v>106</v>
      </c>
      <c r="J421" s="48" t="s">
        <v>107</v>
      </c>
      <c r="O421"/>
    </row>
    <row r="422" spans="1:15" x14ac:dyDescent="0.25">
      <c r="A422">
        <v>539</v>
      </c>
      <c r="B422">
        <v>11544</v>
      </c>
      <c r="C422" s="2">
        <v>57587.92</v>
      </c>
      <c r="D422" s="2">
        <v>57587.92</v>
      </c>
      <c r="E422" s="2">
        <v>0</v>
      </c>
      <c r="F422" s="1">
        <v>44727</v>
      </c>
      <c r="G422">
        <v>25</v>
      </c>
      <c r="H422" s="36" t="s">
        <v>54</v>
      </c>
      <c r="I422" s="48"/>
      <c r="J422" s="48"/>
      <c r="O422"/>
    </row>
    <row r="423" spans="1:15" x14ac:dyDescent="0.25">
      <c r="A423">
        <v>550</v>
      </c>
      <c r="B423">
        <v>11544</v>
      </c>
      <c r="C423" s="2">
        <v>63619.79</v>
      </c>
      <c r="D423" s="2">
        <v>63619.79</v>
      </c>
      <c r="E423" s="2">
        <v>0</v>
      </c>
      <c r="F423" s="1">
        <v>44727</v>
      </c>
      <c r="G423">
        <v>25</v>
      </c>
      <c r="H423" s="36" t="s">
        <v>54</v>
      </c>
      <c r="I423" s="48"/>
      <c r="J423" s="48"/>
      <c r="O423"/>
    </row>
    <row r="424" spans="1:15" x14ac:dyDescent="0.25">
      <c r="A424">
        <v>367</v>
      </c>
      <c r="B424">
        <v>11541</v>
      </c>
      <c r="C424" s="2">
        <v>152860.99</v>
      </c>
      <c r="D424" s="2">
        <v>13896453.720000001</v>
      </c>
      <c r="E424" s="2">
        <v>4162190.1</v>
      </c>
      <c r="F424" s="1">
        <v>44725</v>
      </c>
      <c r="G424">
        <v>25</v>
      </c>
      <c r="H424" s="36" t="s">
        <v>64</v>
      </c>
      <c r="I424" s="48" t="s">
        <v>117</v>
      </c>
      <c r="J424" s="48" t="s">
        <v>115</v>
      </c>
      <c r="O424"/>
    </row>
    <row r="425" spans="1:15" x14ac:dyDescent="0.25">
      <c r="A425">
        <v>369</v>
      </c>
      <c r="B425">
        <v>11541</v>
      </c>
      <c r="C425" s="2">
        <v>82347.87</v>
      </c>
      <c r="D425" s="2">
        <v>4076627.31</v>
      </c>
      <c r="E425" s="2">
        <v>46881.22</v>
      </c>
      <c r="F425" s="1">
        <v>44725</v>
      </c>
      <c r="G425">
        <v>25</v>
      </c>
      <c r="H425" s="36" t="s">
        <v>64</v>
      </c>
      <c r="I425" s="48" t="s">
        <v>117</v>
      </c>
      <c r="J425" s="48" t="s">
        <v>115</v>
      </c>
      <c r="O425"/>
    </row>
    <row r="426" spans="1:15" x14ac:dyDescent="0.25">
      <c r="A426">
        <v>410</v>
      </c>
      <c r="B426">
        <v>11533</v>
      </c>
      <c r="C426" s="2">
        <v>95628.09</v>
      </c>
      <c r="D426" s="2">
        <v>97248.9</v>
      </c>
      <c r="E426" s="2">
        <v>1620.81</v>
      </c>
      <c r="F426" s="1">
        <v>44722</v>
      </c>
      <c r="G426">
        <v>24</v>
      </c>
      <c r="H426" s="36" t="s">
        <v>56</v>
      </c>
      <c r="I426" s="48"/>
      <c r="J426" s="48"/>
      <c r="O426"/>
    </row>
    <row r="427" spans="1:15" x14ac:dyDescent="0.25">
      <c r="A427">
        <v>433</v>
      </c>
      <c r="B427">
        <v>11534</v>
      </c>
      <c r="C427" s="2">
        <v>95628.09</v>
      </c>
      <c r="D427" s="2">
        <v>97248.9</v>
      </c>
      <c r="E427" s="2">
        <v>1620.81</v>
      </c>
      <c r="F427" s="1">
        <v>44722</v>
      </c>
      <c r="G427">
        <v>24</v>
      </c>
      <c r="H427" s="36" t="s">
        <v>56</v>
      </c>
      <c r="I427" s="48"/>
      <c r="J427" s="48"/>
      <c r="O427"/>
    </row>
    <row r="428" spans="1:15" x14ac:dyDescent="0.25">
      <c r="A428">
        <v>438</v>
      </c>
      <c r="B428">
        <v>11535</v>
      </c>
      <c r="C428" s="2">
        <v>95628.09</v>
      </c>
      <c r="D428" s="2">
        <v>97248.9</v>
      </c>
      <c r="E428" s="2">
        <v>1620.81</v>
      </c>
      <c r="F428" s="1">
        <v>44722</v>
      </c>
      <c r="G428">
        <v>24</v>
      </c>
      <c r="H428" s="36" t="s">
        <v>56</v>
      </c>
      <c r="I428" s="48"/>
      <c r="J428" s="48"/>
      <c r="O428"/>
    </row>
    <row r="429" spans="1:15" x14ac:dyDescent="0.25">
      <c r="A429">
        <v>440</v>
      </c>
      <c r="B429">
        <v>11536</v>
      </c>
      <c r="C429" s="2">
        <v>95628.09</v>
      </c>
      <c r="D429" s="2">
        <v>97248.9</v>
      </c>
      <c r="E429" s="2">
        <v>1620.81</v>
      </c>
      <c r="F429" s="1">
        <v>44722</v>
      </c>
      <c r="G429">
        <v>24</v>
      </c>
      <c r="H429" s="36" t="s">
        <v>56</v>
      </c>
      <c r="I429" s="48"/>
      <c r="J429" s="48"/>
      <c r="O429"/>
    </row>
    <row r="430" spans="1:15" x14ac:dyDescent="0.25">
      <c r="A430">
        <v>442</v>
      </c>
      <c r="B430">
        <v>11537</v>
      </c>
      <c r="C430" s="2">
        <v>95628.09</v>
      </c>
      <c r="D430" s="2">
        <v>97248.9</v>
      </c>
      <c r="E430" s="2">
        <v>1620.81</v>
      </c>
      <c r="F430" s="1">
        <v>44722</v>
      </c>
      <c r="G430">
        <v>24</v>
      </c>
      <c r="H430" s="36" t="s">
        <v>56</v>
      </c>
      <c r="I430" s="48"/>
      <c r="J430" s="48"/>
      <c r="O430"/>
    </row>
    <row r="431" spans="1:15" x14ac:dyDescent="0.25">
      <c r="A431">
        <v>444</v>
      </c>
      <c r="B431">
        <v>11538</v>
      </c>
      <c r="C431" s="2">
        <v>95628.09</v>
      </c>
      <c r="D431" s="2">
        <v>97248.9</v>
      </c>
      <c r="E431" s="2">
        <v>1620.81</v>
      </c>
      <c r="F431" s="1">
        <v>44722</v>
      </c>
      <c r="G431">
        <v>24</v>
      </c>
      <c r="H431" s="36" t="s">
        <v>56</v>
      </c>
      <c r="I431" s="48"/>
      <c r="J431" s="48"/>
      <c r="O431"/>
    </row>
    <row r="432" spans="1:15" x14ac:dyDescent="0.25">
      <c r="A432">
        <v>447</v>
      </c>
      <c r="B432">
        <v>11539</v>
      </c>
      <c r="C432" s="2">
        <v>95628.09</v>
      </c>
      <c r="D432" s="2">
        <v>97248.9</v>
      </c>
      <c r="E432" s="2">
        <v>1620.81</v>
      </c>
      <c r="F432" s="1">
        <v>44722</v>
      </c>
      <c r="G432">
        <v>24</v>
      </c>
      <c r="H432" s="36" t="s">
        <v>56</v>
      </c>
      <c r="I432" s="48"/>
      <c r="J432" s="48"/>
      <c r="O432"/>
    </row>
    <row r="433" spans="1:15" x14ac:dyDescent="0.25">
      <c r="A433">
        <v>494</v>
      </c>
      <c r="B433">
        <v>11540</v>
      </c>
      <c r="C433" s="2">
        <v>95628.09</v>
      </c>
      <c r="D433" s="2">
        <v>97248.9</v>
      </c>
      <c r="E433" s="2">
        <v>1620.81</v>
      </c>
      <c r="F433" s="1">
        <v>44722</v>
      </c>
      <c r="G433">
        <v>24</v>
      </c>
      <c r="H433" s="36" t="s">
        <v>56</v>
      </c>
      <c r="I433" s="48"/>
      <c r="J433" s="48"/>
      <c r="O433"/>
    </row>
    <row r="434" spans="1:15" x14ac:dyDescent="0.25">
      <c r="A434">
        <v>508</v>
      </c>
      <c r="B434">
        <v>11532</v>
      </c>
      <c r="C434" s="2">
        <v>533162.04</v>
      </c>
      <c r="D434" s="2">
        <v>9505320</v>
      </c>
      <c r="E434" s="2">
        <v>24857.85</v>
      </c>
      <c r="F434" s="1">
        <v>44720</v>
      </c>
      <c r="G434">
        <v>24</v>
      </c>
      <c r="H434" s="36" t="s">
        <v>63</v>
      </c>
      <c r="I434" s="48" t="s">
        <v>117</v>
      </c>
      <c r="J434" s="48" t="s">
        <v>115</v>
      </c>
      <c r="O434"/>
    </row>
    <row r="435" spans="1:15" x14ac:dyDescent="0.25">
      <c r="A435">
        <v>367</v>
      </c>
      <c r="B435">
        <v>11529</v>
      </c>
      <c r="C435" s="2">
        <v>230681.13</v>
      </c>
      <c r="D435" s="2">
        <v>13896453.720000001</v>
      </c>
      <c r="E435" s="2">
        <v>4162190.1</v>
      </c>
      <c r="F435" s="1">
        <v>44718</v>
      </c>
      <c r="G435">
        <v>24</v>
      </c>
      <c r="H435" s="36" t="s">
        <v>64</v>
      </c>
      <c r="I435" s="48" t="s">
        <v>117</v>
      </c>
      <c r="J435" s="48" t="s">
        <v>115</v>
      </c>
      <c r="O435"/>
    </row>
    <row r="436" spans="1:15" x14ac:dyDescent="0.25">
      <c r="A436">
        <v>367</v>
      </c>
      <c r="B436">
        <v>11530</v>
      </c>
      <c r="C436" s="2">
        <v>230681.13</v>
      </c>
      <c r="D436" s="2">
        <v>13896453.720000001</v>
      </c>
      <c r="E436" s="2">
        <v>4162190.1</v>
      </c>
      <c r="F436" s="1">
        <v>44718</v>
      </c>
      <c r="G436">
        <v>24</v>
      </c>
      <c r="H436" s="36" t="s">
        <v>64</v>
      </c>
      <c r="I436" s="48" t="s">
        <v>117</v>
      </c>
      <c r="J436" s="48" t="s">
        <v>115</v>
      </c>
      <c r="O436"/>
    </row>
    <row r="437" spans="1:15" x14ac:dyDescent="0.25">
      <c r="A437">
        <v>369</v>
      </c>
      <c r="B437">
        <v>11529</v>
      </c>
      <c r="C437" s="2">
        <v>164695.74</v>
      </c>
      <c r="D437" s="2">
        <v>4076627.31</v>
      </c>
      <c r="E437" s="2">
        <v>46881.22</v>
      </c>
      <c r="F437" s="1">
        <v>44718</v>
      </c>
      <c r="G437">
        <v>24</v>
      </c>
      <c r="H437" s="36" t="s">
        <v>64</v>
      </c>
      <c r="I437" s="48" t="s">
        <v>117</v>
      </c>
      <c r="J437" s="48" t="s">
        <v>115</v>
      </c>
      <c r="O437"/>
    </row>
    <row r="438" spans="1:15" x14ac:dyDescent="0.25">
      <c r="A438">
        <v>369</v>
      </c>
      <c r="B438">
        <v>11530</v>
      </c>
      <c r="C438" s="2">
        <v>123521.81</v>
      </c>
      <c r="D438" s="2">
        <v>4076627.31</v>
      </c>
      <c r="E438" s="2">
        <v>46881.22</v>
      </c>
      <c r="F438" s="1">
        <v>44718</v>
      </c>
      <c r="G438">
        <v>24</v>
      </c>
      <c r="H438" s="36" t="s">
        <v>64</v>
      </c>
      <c r="I438" s="48" t="s">
        <v>117</v>
      </c>
      <c r="J438" s="48" t="s">
        <v>115</v>
      </c>
      <c r="O438"/>
    </row>
    <row r="439" spans="1:15" x14ac:dyDescent="0.25">
      <c r="A439">
        <v>666</v>
      </c>
      <c r="B439">
        <v>323</v>
      </c>
      <c r="C439" s="2">
        <v>21640.560000000001</v>
      </c>
      <c r="D439" s="2">
        <v>21640.560000000001</v>
      </c>
      <c r="E439" s="2">
        <v>0</v>
      </c>
      <c r="F439" s="1">
        <v>44718</v>
      </c>
      <c r="G439">
        <v>24</v>
      </c>
      <c r="H439" s="36" t="s">
        <v>100</v>
      </c>
      <c r="I439" s="48"/>
      <c r="J439" s="48"/>
      <c r="O439"/>
    </row>
    <row r="440" spans="1:15" x14ac:dyDescent="0.25">
      <c r="A440">
        <v>334</v>
      </c>
      <c r="B440">
        <v>11527</v>
      </c>
      <c r="C440" s="2">
        <v>360339.68</v>
      </c>
      <c r="D440" s="2">
        <v>697994.54</v>
      </c>
      <c r="E440" s="2">
        <v>1359608.58</v>
      </c>
      <c r="F440" s="1">
        <v>44715</v>
      </c>
      <c r="G440">
        <v>23</v>
      </c>
      <c r="H440" s="36" t="s">
        <v>59</v>
      </c>
      <c r="I440" s="48" t="s">
        <v>106</v>
      </c>
      <c r="J440" s="48" t="s">
        <v>107</v>
      </c>
      <c r="O440"/>
    </row>
    <row r="441" spans="1:15" x14ac:dyDescent="0.25">
      <c r="A441">
        <v>336</v>
      </c>
      <c r="B441">
        <v>11527</v>
      </c>
      <c r="C441" s="2">
        <v>158807.78</v>
      </c>
      <c r="D441" s="2">
        <v>153808.99</v>
      </c>
      <c r="E441" s="2">
        <v>0</v>
      </c>
      <c r="F441" s="1">
        <v>44715</v>
      </c>
      <c r="G441">
        <v>23</v>
      </c>
      <c r="H441" s="36" t="s">
        <v>59</v>
      </c>
      <c r="I441" s="48" t="s">
        <v>113</v>
      </c>
      <c r="J441" s="48"/>
      <c r="O441"/>
    </row>
    <row r="442" spans="1:15" x14ac:dyDescent="0.25">
      <c r="A442">
        <v>428</v>
      </c>
      <c r="B442">
        <v>11503</v>
      </c>
      <c r="C442" s="2">
        <v>50799</v>
      </c>
      <c r="D442" s="2">
        <v>51660</v>
      </c>
      <c r="E442" s="2">
        <v>861</v>
      </c>
      <c r="F442" s="1">
        <v>44712</v>
      </c>
      <c r="G442">
        <v>23</v>
      </c>
      <c r="H442" s="36" t="s">
        <v>56</v>
      </c>
      <c r="I442" s="48"/>
      <c r="J442" s="48"/>
      <c r="O442"/>
    </row>
    <row r="443" spans="1:15" x14ac:dyDescent="0.25">
      <c r="A443">
        <v>431</v>
      </c>
      <c r="B443">
        <v>11504</v>
      </c>
      <c r="C443" s="2">
        <v>50799</v>
      </c>
      <c r="D443" s="2">
        <v>51660</v>
      </c>
      <c r="E443" s="2">
        <v>861</v>
      </c>
      <c r="F443" s="1">
        <v>44712</v>
      </c>
      <c r="G443">
        <v>23</v>
      </c>
      <c r="H443" s="36" t="s">
        <v>56</v>
      </c>
      <c r="I443" s="48"/>
      <c r="J443" s="48"/>
      <c r="O443"/>
    </row>
    <row r="444" spans="1:15" x14ac:dyDescent="0.25">
      <c r="A444">
        <v>436</v>
      </c>
      <c r="B444">
        <v>11505</v>
      </c>
      <c r="C444" s="2">
        <v>50799</v>
      </c>
      <c r="D444" s="2">
        <v>51660</v>
      </c>
      <c r="E444" s="2">
        <v>861</v>
      </c>
      <c r="F444" s="1">
        <v>44712</v>
      </c>
      <c r="G444">
        <v>23</v>
      </c>
      <c r="H444" s="36" t="s">
        <v>56</v>
      </c>
      <c r="I444" s="48"/>
      <c r="J444" s="48"/>
      <c r="O444"/>
    </row>
    <row r="445" spans="1:15" x14ac:dyDescent="0.25">
      <c r="A445">
        <v>437</v>
      </c>
      <c r="B445">
        <v>11521</v>
      </c>
      <c r="C445" s="2">
        <v>95628.09</v>
      </c>
      <c r="D445" s="2">
        <v>97248.9</v>
      </c>
      <c r="E445" s="2">
        <v>1620.81</v>
      </c>
      <c r="F445" s="1">
        <v>44712</v>
      </c>
      <c r="G445">
        <v>23</v>
      </c>
      <c r="H445" s="36" t="s">
        <v>56</v>
      </c>
      <c r="I445" s="48"/>
      <c r="J445" s="48"/>
      <c r="O445"/>
    </row>
    <row r="446" spans="1:15" x14ac:dyDescent="0.25">
      <c r="A446">
        <v>439</v>
      </c>
      <c r="B446">
        <v>11506</v>
      </c>
      <c r="C446" s="2">
        <v>50799</v>
      </c>
      <c r="D446" s="2">
        <v>51660</v>
      </c>
      <c r="E446" s="2">
        <v>861</v>
      </c>
      <c r="F446" s="1">
        <v>44712</v>
      </c>
      <c r="G446">
        <v>23</v>
      </c>
      <c r="H446" s="36" t="s">
        <v>56</v>
      </c>
      <c r="I446" s="48"/>
      <c r="J446" s="48"/>
      <c r="O446"/>
    </row>
    <row r="447" spans="1:15" x14ac:dyDescent="0.25">
      <c r="A447">
        <v>443</v>
      </c>
      <c r="B447">
        <v>11507</v>
      </c>
      <c r="C447" s="2">
        <v>50799</v>
      </c>
      <c r="D447" s="2">
        <v>51660</v>
      </c>
      <c r="E447" s="2">
        <v>861</v>
      </c>
      <c r="F447" s="1">
        <v>44712</v>
      </c>
      <c r="G447">
        <v>23</v>
      </c>
      <c r="H447" s="36" t="s">
        <v>56</v>
      </c>
      <c r="I447" s="48"/>
      <c r="J447" s="48"/>
      <c r="O447"/>
    </row>
    <row r="448" spans="1:15" x14ac:dyDescent="0.25">
      <c r="A448">
        <v>446</v>
      </c>
      <c r="B448">
        <v>11508</v>
      </c>
      <c r="C448" s="2">
        <v>50799</v>
      </c>
      <c r="D448" s="2">
        <v>51660</v>
      </c>
      <c r="E448" s="2">
        <v>861</v>
      </c>
      <c r="F448" s="1">
        <v>44712</v>
      </c>
      <c r="G448">
        <v>23</v>
      </c>
      <c r="H448" s="36" t="s">
        <v>56</v>
      </c>
      <c r="I448" s="48"/>
      <c r="J448" s="48"/>
      <c r="O448"/>
    </row>
    <row r="449" spans="1:15" x14ac:dyDescent="0.25">
      <c r="A449">
        <v>448</v>
      </c>
      <c r="B449">
        <v>11522</v>
      </c>
      <c r="C449" s="2">
        <v>95628.09</v>
      </c>
      <c r="D449" s="2">
        <v>97248.9</v>
      </c>
      <c r="E449" s="2">
        <v>1620.81</v>
      </c>
      <c r="F449" s="1">
        <v>44712</v>
      </c>
      <c r="G449">
        <v>23</v>
      </c>
      <c r="H449" s="36" t="s">
        <v>56</v>
      </c>
      <c r="I449" s="48"/>
      <c r="J449" s="48"/>
      <c r="O449"/>
    </row>
    <row r="450" spans="1:15" x14ac:dyDescent="0.25">
      <c r="A450">
        <v>449</v>
      </c>
      <c r="B450">
        <v>11509</v>
      </c>
      <c r="C450" s="2">
        <v>50799</v>
      </c>
      <c r="D450" s="2">
        <v>51660</v>
      </c>
      <c r="E450" s="2">
        <v>861</v>
      </c>
      <c r="F450" s="1">
        <v>44712</v>
      </c>
      <c r="G450">
        <v>23</v>
      </c>
      <c r="H450" s="36" t="s">
        <v>56</v>
      </c>
      <c r="I450" s="48"/>
      <c r="J450" s="48"/>
      <c r="O450"/>
    </row>
    <row r="451" spans="1:15" x14ac:dyDescent="0.25">
      <c r="A451">
        <v>451</v>
      </c>
      <c r="B451">
        <v>11510</v>
      </c>
      <c r="C451" s="2">
        <v>50799</v>
      </c>
      <c r="D451" s="2">
        <v>51660</v>
      </c>
      <c r="E451" s="2">
        <v>861</v>
      </c>
      <c r="F451" s="1">
        <v>44712</v>
      </c>
      <c r="G451">
        <v>23</v>
      </c>
      <c r="H451" s="36" t="s">
        <v>56</v>
      </c>
      <c r="I451" s="48"/>
      <c r="J451" s="48"/>
      <c r="O451"/>
    </row>
    <row r="452" spans="1:15" x14ac:dyDescent="0.25">
      <c r="A452">
        <v>464</v>
      </c>
      <c r="B452">
        <v>11511</v>
      </c>
      <c r="C452" s="2">
        <v>50799</v>
      </c>
      <c r="D452" s="2">
        <v>51660</v>
      </c>
      <c r="E452" s="2">
        <v>861</v>
      </c>
      <c r="F452" s="1">
        <v>44712</v>
      </c>
      <c r="G452">
        <v>23</v>
      </c>
      <c r="H452" s="36" t="s">
        <v>56</v>
      </c>
      <c r="I452" s="48"/>
      <c r="J452" s="48"/>
      <c r="O452"/>
    </row>
    <row r="453" spans="1:15" x14ac:dyDescent="0.25">
      <c r="A453">
        <v>467</v>
      </c>
      <c r="B453">
        <v>11512</v>
      </c>
      <c r="C453" s="2">
        <v>50799</v>
      </c>
      <c r="D453" s="2">
        <v>51660</v>
      </c>
      <c r="E453" s="2">
        <v>861</v>
      </c>
      <c r="F453" s="1">
        <v>44712</v>
      </c>
      <c r="G453">
        <v>23</v>
      </c>
      <c r="H453" s="36" t="s">
        <v>56</v>
      </c>
      <c r="I453" s="48"/>
      <c r="J453" s="48"/>
      <c r="O453"/>
    </row>
    <row r="454" spans="1:15" x14ac:dyDescent="0.25">
      <c r="A454">
        <v>470</v>
      </c>
      <c r="B454">
        <v>11513</v>
      </c>
      <c r="C454" s="2">
        <v>50799</v>
      </c>
      <c r="D454" s="2">
        <v>51660</v>
      </c>
      <c r="E454" s="2">
        <v>861</v>
      </c>
      <c r="F454" s="1">
        <v>44712</v>
      </c>
      <c r="G454">
        <v>23</v>
      </c>
      <c r="H454" s="36" t="s">
        <v>56</v>
      </c>
      <c r="I454" s="48"/>
      <c r="J454" s="48"/>
      <c r="O454"/>
    </row>
    <row r="455" spans="1:15" x14ac:dyDescent="0.25">
      <c r="A455">
        <v>471</v>
      </c>
      <c r="B455">
        <v>11514</v>
      </c>
      <c r="C455" s="2">
        <v>50799</v>
      </c>
      <c r="D455" s="2">
        <v>51660</v>
      </c>
      <c r="E455" s="2">
        <v>861</v>
      </c>
      <c r="F455" s="1">
        <v>44712</v>
      </c>
      <c r="G455">
        <v>23</v>
      </c>
      <c r="H455" s="36" t="s">
        <v>56</v>
      </c>
      <c r="I455" s="48"/>
      <c r="J455" s="48"/>
      <c r="O455"/>
    </row>
    <row r="456" spans="1:15" x14ac:dyDescent="0.25">
      <c r="A456">
        <v>479</v>
      </c>
      <c r="B456">
        <v>11519</v>
      </c>
      <c r="C456" s="2">
        <v>50799</v>
      </c>
      <c r="D456" s="2">
        <v>51660</v>
      </c>
      <c r="E456" s="2">
        <v>861</v>
      </c>
      <c r="F456" s="1">
        <v>44712</v>
      </c>
      <c r="G456">
        <v>23</v>
      </c>
      <c r="H456" s="36" t="s">
        <v>56</v>
      </c>
      <c r="I456" s="48"/>
      <c r="J456" s="48"/>
      <c r="O456"/>
    </row>
    <row r="457" spans="1:15" x14ac:dyDescent="0.25">
      <c r="A457">
        <v>485</v>
      </c>
      <c r="B457">
        <v>11515</v>
      </c>
      <c r="C457" s="2">
        <v>50799</v>
      </c>
      <c r="D457" s="2">
        <v>51660</v>
      </c>
      <c r="E457" s="2">
        <v>861</v>
      </c>
      <c r="F457" s="1">
        <v>44712</v>
      </c>
      <c r="G457">
        <v>23</v>
      </c>
      <c r="H457" s="36" t="s">
        <v>56</v>
      </c>
      <c r="I457" s="48"/>
      <c r="J457" s="48"/>
      <c r="O457"/>
    </row>
    <row r="458" spans="1:15" x14ac:dyDescent="0.25">
      <c r="A458">
        <v>487</v>
      </c>
      <c r="B458">
        <v>11516</v>
      </c>
      <c r="C458" s="2">
        <v>50799</v>
      </c>
      <c r="D458" s="2">
        <v>51660</v>
      </c>
      <c r="E458" s="2">
        <v>861</v>
      </c>
      <c r="F458" s="1">
        <v>44712</v>
      </c>
      <c r="G458">
        <v>23</v>
      </c>
      <c r="H458" s="36" t="s">
        <v>56</v>
      </c>
      <c r="I458" s="48"/>
      <c r="J458" s="48"/>
      <c r="O458"/>
    </row>
    <row r="459" spans="1:15" x14ac:dyDescent="0.25">
      <c r="A459">
        <v>493</v>
      </c>
      <c r="B459">
        <v>11517</v>
      </c>
      <c r="C459" s="2">
        <v>50799</v>
      </c>
      <c r="D459" s="2">
        <v>51660</v>
      </c>
      <c r="E459" s="2">
        <v>861</v>
      </c>
      <c r="F459" s="1">
        <v>44712</v>
      </c>
      <c r="G459">
        <v>23</v>
      </c>
      <c r="H459" s="36" t="s">
        <v>56</v>
      </c>
      <c r="I459" s="48"/>
      <c r="J459" s="48"/>
      <c r="O459"/>
    </row>
    <row r="460" spans="1:15" x14ac:dyDescent="0.25">
      <c r="A460">
        <v>495</v>
      </c>
      <c r="B460">
        <v>11518</v>
      </c>
      <c r="C460" s="2">
        <v>50799</v>
      </c>
      <c r="D460" s="2">
        <v>51660</v>
      </c>
      <c r="E460" s="2">
        <v>861</v>
      </c>
      <c r="F460" s="1">
        <v>44712</v>
      </c>
      <c r="G460">
        <v>23</v>
      </c>
      <c r="H460" s="36" t="s">
        <v>56</v>
      </c>
      <c r="I460" s="48"/>
      <c r="J460" s="48"/>
      <c r="O460"/>
    </row>
    <row r="461" spans="1:15" x14ac:dyDescent="0.25">
      <c r="A461">
        <v>500</v>
      </c>
      <c r="B461">
        <v>11520</v>
      </c>
      <c r="C461" s="2">
        <v>590739.4</v>
      </c>
      <c r="D461" s="2">
        <v>1440827.8</v>
      </c>
      <c r="E461" s="2">
        <v>0</v>
      </c>
      <c r="F461" s="1">
        <v>44712</v>
      </c>
      <c r="G461">
        <v>23</v>
      </c>
      <c r="H461" s="36" t="s">
        <v>61</v>
      </c>
      <c r="I461" s="48" t="s">
        <v>120</v>
      </c>
      <c r="J461" s="48" t="s">
        <v>120</v>
      </c>
      <c r="O461"/>
    </row>
    <row r="462" spans="1:15" x14ac:dyDescent="0.25">
      <c r="A462">
        <v>658</v>
      </c>
      <c r="B462">
        <v>11500</v>
      </c>
      <c r="C462" s="2">
        <v>9069.76</v>
      </c>
      <c r="D462" s="2">
        <v>9069.76</v>
      </c>
      <c r="E462" s="2">
        <v>0</v>
      </c>
      <c r="F462" s="1">
        <v>44711</v>
      </c>
      <c r="G462">
        <v>23</v>
      </c>
      <c r="H462" s="36" t="s">
        <v>122</v>
      </c>
      <c r="I462" s="48"/>
      <c r="J462" s="48"/>
      <c r="O462"/>
    </row>
    <row r="463" spans="1:15" x14ac:dyDescent="0.25">
      <c r="A463">
        <v>508</v>
      </c>
      <c r="B463">
        <v>11498</v>
      </c>
      <c r="C463" s="2">
        <v>569138.24</v>
      </c>
      <c r="D463" s="2">
        <v>9505320</v>
      </c>
      <c r="E463" s="2">
        <v>24857.85</v>
      </c>
      <c r="F463" s="1">
        <v>44708</v>
      </c>
      <c r="G463">
        <v>22</v>
      </c>
      <c r="H463" s="36" t="s">
        <v>63</v>
      </c>
      <c r="I463" s="48" t="s">
        <v>117</v>
      </c>
      <c r="J463" s="48" t="s">
        <v>115</v>
      </c>
      <c r="O463"/>
    </row>
    <row r="464" spans="1:15" x14ac:dyDescent="0.25">
      <c r="A464">
        <v>412</v>
      </c>
      <c r="B464">
        <v>11490</v>
      </c>
      <c r="C464" s="2">
        <v>95628.09</v>
      </c>
      <c r="D464" s="2">
        <v>97248.9</v>
      </c>
      <c r="E464" s="2">
        <v>1620.81</v>
      </c>
      <c r="F464" s="1">
        <v>44707</v>
      </c>
      <c r="G464">
        <v>22</v>
      </c>
      <c r="H464" s="36" t="s">
        <v>56</v>
      </c>
      <c r="I464" s="48"/>
      <c r="J464" s="48"/>
      <c r="O464"/>
    </row>
    <row r="465" spans="1:15" x14ac:dyDescent="0.25">
      <c r="A465">
        <v>418</v>
      </c>
      <c r="B465">
        <v>11491</v>
      </c>
      <c r="C465" s="2">
        <v>95628.09</v>
      </c>
      <c r="D465" s="2">
        <v>97248.9</v>
      </c>
      <c r="E465" s="2">
        <v>1620.81</v>
      </c>
      <c r="F465" s="1">
        <v>44707</v>
      </c>
      <c r="G465">
        <v>22</v>
      </c>
      <c r="H465" s="36" t="s">
        <v>56</v>
      </c>
      <c r="I465" s="48"/>
      <c r="J465" s="48"/>
      <c r="O465"/>
    </row>
    <row r="466" spans="1:15" x14ac:dyDescent="0.25">
      <c r="A466">
        <v>422</v>
      </c>
      <c r="B466">
        <v>11492</v>
      </c>
      <c r="C466" s="2">
        <v>95628.09</v>
      </c>
      <c r="D466" s="2">
        <v>97248.9</v>
      </c>
      <c r="E466" s="2">
        <v>1620.81</v>
      </c>
      <c r="F466" s="1">
        <v>44707</v>
      </c>
      <c r="G466">
        <v>22</v>
      </c>
      <c r="H466" s="36" t="s">
        <v>56</v>
      </c>
      <c r="I466" s="48"/>
      <c r="J466" s="48"/>
      <c r="O466"/>
    </row>
    <row r="467" spans="1:15" x14ac:dyDescent="0.25">
      <c r="A467">
        <v>424</v>
      </c>
      <c r="B467">
        <v>11493</v>
      </c>
      <c r="C467" s="2">
        <v>95628.09</v>
      </c>
      <c r="D467" s="2">
        <v>97248.9</v>
      </c>
      <c r="E467" s="2">
        <v>1620.81</v>
      </c>
      <c r="F467" s="1">
        <v>44707</v>
      </c>
      <c r="G467">
        <v>22</v>
      </c>
      <c r="H467" s="36" t="s">
        <v>56</v>
      </c>
      <c r="I467" s="48"/>
      <c r="J467" s="48"/>
      <c r="O467"/>
    </row>
    <row r="468" spans="1:15" x14ac:dyDescent="0.25">
      <c r="A468">
        <v>430</v>
      </c>
      <c r="B468">
        <v>11494</v>
      </c>
      <c r="C468" s="2">
        <v>95628.09</v>
      </c>
      <c r="D468" s="2">
        <v>97248.9</v>
      </c>
      <c r="E468" s="2">
        <v>1620.81</v>
      </c>
      <c r="F468" s="1">
        <v>44707</v>
      </c>
      <c r="G468">
        <v>22</v>
      </c>
      <c r="H468" s="36" t="s">
        <v>56</v>
      </c>
      <c r="I468" s="48"/>
      <c r="J468" s="48"/>
      <c r="O468"/>
    </row>
    <row r="469" spans="1:15" x14ac:dyDescent="0.25">
      <c r="A469">
        <v>482</v>
      </c>
      <c r="B469">
        <v>11495</v>
      </c>
      <c r="C469" s="2">
        <v>95628.09</v>
      </c>
      <c r="D469" s="2">
        <v>97248.9</v>
      </c>
      <c r="E469" s="2">
        <v>1620.81</v>
      </c>
      <c r="F469" s="1">
        <v>44707</v>
      </c>
      <c r="G469">
        <v>22</v>
      </c>
      <c r="H469" s="36" t="s">
        <v>56</v>
      </c>
      <c r="I469" s="48"/>
      <c r="J469" s="48"/>
      <c r="O469"/>
    </row>
    <row r="470" spans="1:15" x14ac:dyDescent="0.25">
      <c r="A470">
        <v>538</v>
      </c>
      <c r="B470">
        <v>11487</v>
      </c>
      <c r="C470" s="2">
        <v>57587.92</v>
      </c>
      <c r="D470" s="2">
        <v>57587.92</v>
      </c>
      <c r="E470" s="2">
        <v>0</v>
      </c>
      <c r="F470" s="1">
        <v>44706</v>
      </c>
      <c r="G470">
        <v>22</v>
      </c>
      <c r="H470" s="36" t="s">
        <v>54</v>
      </c>
      <c r="I470" s="48"/>
      <c r="J470" s="48"/>
      <c r="O470"/>
    </row>
    <row r="471" spans="1:15" x14ac:dyDescent="0.25">
      <c r="A471">
        <v>549</v>
      </c>
      <c r="B471">
        <v>11487</v>
      </c>
      <c r="C471" s="2">
        <v>63619.79</v>
      </c>
      <c r="D471" s="2">
        <v>63619.79</v>
      </c>
      <c r="E471" s="2">
        <v>0</v>
      </c>
      <c r="F471" s="1">
        <v>44706</v>
      </c>
      <c r="G471">
        <v>22</v>
      </c>
      <c r="H471" s="36" t="s">
        <v>54</v>
      </c>
      <c r="I471" s="48"/>
      <c r="J471" s="48"/>
      <c r="O471"/>
    </row>
    <row r="472" spans="1:15" x14ac:dyDescent="0.25">
      <c r="A472">
        <v>500</v>
      </c>
      <c r="B472">
        <v>11482</v>
      </c>
      <c r="C472" s="2">
        <v>331390.39</v>
      </c>
      <c r="D472" s="2">
        <v>1440827.8</v>
      </c>
      <c r="E472" s="2">
        <v>0</v>
      </c>
      <c r="F472" s="1">
        <v>44704</v>
      </c>
      <c r="G472">
        <v>22</v>
      </c>
      <c r="H472" s="36" t="s">
        <v>61</v>
      </c>
      <c r="I472" s="48" t="s">
        <v>120</v>
      </c>
      <c r="J472" s="48" t="s">
        <v>120</v>
      </c>
      <c r="O472"/>
    </row>
    <row r="473" spans="1:15" x14ac:dyDescent="0.25">
      <c r="A473">
        <v>396</v>
      </c>
      <c r="B473">
        <v>11470</v>
      </c>
      <c r="C473" s="2">
        <v>95628.09</v>
      </c>
      <c r="D473" s="2">
        <v>97248.9</v>
      </c>
      <c r="E473" s="2">
        <v>1620.81</v>
      </c>
      <c r="F473" s="1">
        <v>44701</v>
      </c>
      <c r="G473">
        <v>21</v>
      </c>
      <c r="H473" s="36" t="s">
        <v>56</v>
      </c>
      <c r="I473" s="48"/>
      <c r="J473" s="48"/>
      <c r="O473"/>
    </row>
    <row r="474" spans="1:15" x14ac:dyDescent="0.25">
      <c r="A474">
        <v>398</v>
      </c>
      <c r="B474">
        <v>11471</v>
      </c>
      <c r="C474" s="2">
        <v>95628.09</v>
      </c>
      <c r="D474" s="2">
        <v>97248.9</v>
      </c>
      <c r="E474" s="2">
        <v>1620.81</v>
      </c>
      <c r="F474" s="1">
        <v>44701</v>
      </c>
      <c r="G474">
        <v>21</v>
      </c>
      <c r="H474" s="36" t="s">
        <v>56</v>
      </c>
      <c r="I474" s="48"/>
      <c r="J474" s="48"/>
      <c r="O474"/>
    </row>
    <row r="475" spans="1:15" x14ac:dyDescent="0.25">
      <c r="A475">
        <v>408</v>
      </c>
      <c r="B475">
        <v>11474</v>
      </c>
      <c r="C475" s="2">
        <v>95628.09</v>
      </c>
      <c r="D475" s="2">
        <v>97248.9</v>
      </c>
      <c r="E475" s="2">
        <v>1620.81</v>
      </c>
      <c r="F475" s="1">
        <v>44701</v>
      </c>
      <c r="G475">
        <v>21</v>
      </c>
      <c r="H475" s="36" t="s">
        <v>56</v>
      </c>
      <c r="I475" s="48"/>
      <c r="J475" s="48"/>
      <c r="O475"/>
    </row>
    <row r="476" spans="1:15" x14ac:dyDescent="0.25">
      <c r="A476">
        <v>414</v>
      </c>
      <c r="B476">
        <v>11480</v>
      </c>
      <c r="C476" s="2">
        <v>95628.09</v>
      </c>
      <c r="D476" s="2">
        <v>97248.9</v>
      </c>
      <c r="E476" s="2">
        <v>1620.81</v>
      </c>
      <c r="F476" s="1">
        <v>44701</v>
      </c>
      <c r="G476">
        <v>21</v>
      </c>
      <c r="H476" s="36" t="s">
        <v>56</v>
      </c>
      <c r="I476" s="48"/>
      <c r="J476" s="48"/>
      <c r="O476"/>
    </row>
    <row r="477" spans="1:15" x14ac:dyDescent="0.25">
      <c r="A477">
        <v>420</v>
      </c>
      <c r="B477">
        <v>11479</v>
      </c>
      <c r="C477" s="2">
        <v>95628.09</v>
      </c>
      <c r="D477" s="2">
        <v>97248.9</v>
      </c>
      <c r="E477" s="2">
        <v>1620.81</v>
      </c>
      <c r="F477" s="1">
        <v>44701</v>
      </c>
      <c r="G477">
        <v>21</v>
      </c>
      <c r="H477" s="36" t="s">
        <v>56</v>
      </c>
      <c r="I477" s="48"/>
      <c r="J477" s="48"/>
      <c r="O477"/>
    </row>
    <row r="478" spans="1:15" x14ac:dyDescent="0.25">
      <c r="A478">
        <v>426</v>
      </c>
      <c r="B478">
        <v>11472</v>
      </c>
      <c r="C478" s="2">
        <v>95628.09</v>
      </c>
      <c r="D478" s="2">
        <v>97248.9</v>
      </c>
      <c r="E478" s="2">
        <v>1620.81</v>
      </c>
      <c r="F478" s="1">
        <v>44701</v>
      </c>
      <c r="G478">
        <v>21</v>
      </c>
      <c r="H478" s="36" t="s">
        <v>56</v>
      </c>
      <c r="I478" s="48"/>
      <c r="J478" s="48"/>
      <c r="O478"/>
    </row>
    <row r="479" spans="1:15" x14ac:dyDescent="0.25">
      <c r="A479">
        <v>429</v>
      </c>
      <c r="B479">
        <v>11473</v>
      </c>
      <c r="C479" s="2">
        <v>95628.09</v>
      </c>
      <c r="D479" s="2">
        <v>97248.9</v>
      </c>
      <c r="E479" s="2">
        <v>1620.81</v>
      </c>
      <c r="F479" s="1">
        <v>44701</v>
      </c>
      <c r="G479">
        <v>21</v>
      </c>
      <c r="H479" s="36" t="s">
        <v>56</v>
      </c>
      <c r="I479" s="48"/>
      <c r="J479" s="48"/>
      <c r="O479"/>
    </row>
    <row r="480" spans="1:15" x14ac:dyDescent="0.25">
      <c r="A480">
        <v>434</v>
      </c>
      <c r="B480">
        <v>11478</v>
      </c>
      <c r="C480" s="2">
        <v>95628.09</v>
      </c>
      <c r="D480" s="2">
        <v>97248.9</v>
      </c>
      <c r="E480" s="2">
        <v>1620.81</v>
      </c>
      <c r="F480" s="1">
        <v>44701</v>
      </c>
      <c r="G480">
        <v>21</v>
      </c>
      <c r="H480" s="36" t="s">
        <v>56</v>
      </c>
      <c r="I480" s="48"/>
      <c r="J480" s="48"/>
      <c r="O480"/>
    </row>
    <row r="481" spans="1:15" x14ac:dyDescent="0.25">
      <c r="A481">
        <v>367</v>
      </c>
      <c r="B481">
        <v>11466</v>
      </c>
      <c r="C481" s="2">
        <v>75040.850000000006</v>
      </c>
      <c r="D481" s="2">
        <v>13896453.720000001</v>
      </c>
      <c r="E481" s="2">
        <v>4162190.1</v>
      </c>
      <c r="F481" s="1">
        <v>44700</v>
      </c>
      <c r="G481">
        <v>21</v>
      </c>
      <c r="H481" s="36" t="s">
        <v>64</v>
      </c>
      <c r="I481" s="48" t="s">
        <v>117</v>
      </c>
      <c r="J481" s="48" t="s">
        <v>115</v>
      </c>
      <c r="O481"/>
    </row>
    <row r="482" spans="1:15" x14ac:dyDescent="0.25">
      <c r="A482">
        <v>367</v>
      </c>
      <c r="B482">
        <v>11468</v>
      </c>
      <c r="C482" s="2">
        <v>230681.13</v>
      </c>
      <c r="D482" s="2">
        <v>13896453.720000001</v>
      </c>
      <c r="E482" s="2">
        <v>4162190.1</v>
      </c>
      <c r="F482" s="1">
        <v>44700</v>
      </c>
      <c r="G482">
        <v>21</v>
      </c>
      <c r="H482" s="36" t="s">
        <v>64</v>
      </c>
      <c r="I482" s="48" t="s">
        <v>117</v>
      </c>
      <c r="J482" s="48" t="s">
        <v>115</v>
      </c>
      <c r="O482"/>
    </row>
    <row r="483" spans="1:15" x14ac:dyDescent="0.25">
      <c r="A483">
        <v>369</v>
      </c>
      <c r="B483">
        <v>11466</v>
      </c>
      <c r="C483" s="2">
        <v>41173.94</v>
      </c>
      <c r="D483" s="2">
        <v>4076627.31</v>
      </c>
      <c r="E483" s="2">
        <v>46881.22</v>
      </c>
      <c r="F483" s="1">
        <v>44700</v>
      </c>
      <c r="G483">
        <v>21</v>
      </c>
      <c r="H483" s="36" t="s">
        <v>64</v>
      </c>
      <c r="I483" s="48" t="s">
        <v>117</v>
      </c>
      <c r="J483" s="48" t="s">
        <v>115</v>
      </c>
      <c r="O483"/>
    </row>
    <row r="484" spans="1:15" x14ac:dyDescent="0.25">
      <c r="A484">
        <v>369</v>
      </c>
      <c r="B484">
        <v>11468</v>
      </c>
      <c r="C484" s="2">
        <v>82347.87</v>
      </c>
      <c r="D484" s="2">
        <v>4076627.31</v>
      </c>
      <c r="E484" s="2">
        <v>46881.22</v>
      </c>
      <c r="F484" s="1">
        <v>44700</v>
      </c>
      <c r="G484">
        <v>21</v>
      </c>
      <c r="H484" s="36" t="s">
        <v>64</v>
      </c>
      <c r="I484" s="48" t="s">
        <v>117</v>
      </c>
      <c r="J484" s="48" t="s">
        <v>115</v>
      </c>
      <c r="O484"/>
    </row>
    <row r="485" spans="1:15" x14ac:dyDescent="0.25">
      <c r="A485">
        <v>367</v>
      </c>
      <c r="B485">
        <v>11460</v>
      </c>
      <c r="C485" s="2">
        <v>205667.52000000002</v>
      </c>
      <c r="D485" s="2">
        <v>13896453.720000001</v>
      </c>
      <c r="E485" s="2">
        <v>4162190.1</v>
      </c>
      <c r="F485" s="1">
        <v>44699</v>
      </c>
      <c r="G485">
        <v>21</v>
      </c>
      <c r="H485" s="36" t="s">
        <v>64</v>
      </c>
      <c r="I485" s="48" t="s">
        <v>117</v>
      </c>
      <c r="J485" s="48" t="s">
        <v>115</v>
      </c>
      <c r="O485"/>
    </row>
    <row r="486" spans="1:15" x14ac:dyDescent="0.25">
      <c r="A486">
        <v>367</v>
      </c>
      <c r="B486">
        <v>11461</v>
      </c>
      <c r="C486" s="2">
        <v>329345.95</v>
      </c>
      <c r="D486" s="2">
        <v>13896453.720000001</v>
      </c>
      <c r="E486" s="2">
        <v>4162190.1</v>
      </c>
      <c r="F486" s="1">
        <v>44699</v>
      </c>
      <c r="G486">
        <v>21</v>
      </c>
      <c r="H486" s="36" t="s">
        <v>64</v>
      </c>
      <c r="I486" s="48" t="s">
        <v>117</v>
      </c>
      <c r="J486" s="48" t="s">
        <v>115</v>
      </c>
      <c r="O486"/>
    </row>
    <row r="487" spans="1:15" x14ac:dyDescent="0.25">
      <c r="A487">
        <v>369</v>
      </c>
      <c r="B487">
        <v>11462</v>
      </c>
      <c r="C487" s="2">
        <v>821848.07000000007</v>
      </c>
      <c r="D487" s="2">
        <v>4076627.31</v>
      </c>
      <c r="E487" s="2">
        <v>46881.22</v>
      </c>
      <c r="F487" s="1">
        <v>44699</v>
      </c>
      <c r="G487">
        <v>21</v>
      </c>
      <c r="H487" s="36" t="s">
        <v>64</v>
      </c>
      <c r="I487" s="48" t="s">
        <v>117</v>
      </c>
      <c r="J487" s="48" t="s">
        <v>115</v>
      </c>
      <c r="O487"/>
    </row>
    <row r="488" spans="1:15" x14ac:dyDescent="0.25">
      <c r="A488">
        <v>369</v>
      </c>
      <c r="B488">
        <v>11463</v>
      </c>
      <c r="C488" s="2">
        <v>821848.07000000007</v>
      </c>
      <c r="D488" s="2">
        <v>4076627.31</v>
      </c>
      <c r="E488" s="2">
        <v>46881.22</v>
      </c>
      <c r="F488" s="1">
        <v>44699</v>
      </c>
      <c r="G488">
        <v>21</v>
      </c>
      <c r="H488" s="36" t="s">
        <v>64</v>
      </c>
      <c r="I488" s="48" t="s">
        <v>117</v>
      </c>
      <c r="J488" s="48" t="s">
        <v>115</v>
      </c>
      <c r="O488"/>
    </row>
    <row r="489" spans="1:15" x14ac:dyDescent="0.25">
      <c r="A489">
        <v>402</v>
      </c>
      <c r="B489">
        <v>11454</v>
      </c>
      <c r="C489" s="2">
        <v>97248.9</v>
      </c>
      <c r="D489" s="2">
        <v>97248.9</v>
      </c>
      <c r="E489" s="2">
        <v>0</v>
      </c>
      <c r="F489" s="1">
        <v>44698</v>
      </c>
      <c r="G489">
        <v>21</v>
      </c>
      <c r="H489" s="36" t="s">
        <v>56</v>
      </c>
      <c r="I489" s="48"/>
      <c r="J489" s="48"/>
      <c r="O489"/>
    </row>
    <row r="490" spans="1:15" x14ac:dyDescent="0.25">
      <c r="A490">
        <v>404</v>
      </c>
      <c r="B490">
        <v>11455</v>
      </c>
      <c r="C490" s="2">
        <v>97248.9</v>
      </c>
      <c r="D490" s="2">
        <v>97248.9</v>
      </c>
      <c r="E490" s="2">
        <v>0</v>
      </c>
      <c r="F490" s="1">
        <v>44698</v>
      </c>
      <c r="G490">
        <v>21</v>
      </c>
      <c r="H490" s="36" t="s">
        <v>56</v>
      </c>
      <c r="I490" s="48"/>
      <c r="J490" s="48"/>
      <c r="O490"/>
    </row>
    <row r="491" spans="1:15" x14ac:dyDescent="0.25">
      <c r="A491">
        <v>406</v>
      </c>
      <c r="B491">
        <v>11456</v>
      </c>
      <c r="C491" s="2">
        <v>97248.9</v>
      </c>
      <c r="D491" s="2">
        <v>97248.9</v>
      </c>
      <c r="E491" s="2">
        <v>0</v>
      </c>
      <c r="F491" s="1">
        <v>44698</v>
      </c>
      <c r="G491">
        <v>21</v>
      </c>
      <c r="H491" s="36" t="s">
        <v>56</v>
      </c>
      <c r="I491" s="48"/>
      <c r="J491" s="48"/>
      <c r="O491"/>
    </row>
    <row r="492" spans="1:15" x14ac:dyDescent="0.25">
      <c r="A492">
        <v>367</v>
      </c>
      <c r="B492">
        <v>11450</v>
      </c>
      <c r="C492" s="2">
        <v>230681.13</v>
      </c>
      <c r="D492" s="2">
        <v>13896453.720000001</v>
      </c>
      <c r="E492" s="2">
        <v>4162190.1</v>
      </c>
      <c r="F492" s="1">
        <v>44697</v>
      </c>
      <c r="G492">
        <v>21</v>
      </c>
      <c r="H492" s="36" t="s">
        <v>64</v>
      </c>
      <c r="I492" s="48" t="s">
        <v>117</v>
      </c>
      <c r="J492" s="48" t="s">
        <v>115</v>
      </c>
      <c r="O492"/>
    </row>
    <row r="493" spans="1:15" x14ac:dyDescent="0.25">
      <c r="A493">
        <v>367</v>
      </c>
      <c r="B493">
        <v>11451</v>
      </c>
      <c r="C493" s="2">
        <v>152860.99</v>
      </c>
      <c r="D493" s="2">
        <v>13896453.720000001</v>
      </c>
      <c r="E493" s="2">
        <v>4162190.1</v>
      </c>
      <c r="F493" s="1">
        <v>44697</v>
      </c>
      <c r="G493">
        <v>21</v>
      </c>
      <c r="H493" s="36" t="s">
        <v>64</v>
      </c>
      <c r="I493" s="48" t="s">
        <v>117</v>
      </c>
      <c r="J493" s="48" t="s">
        <v>115</v>
      </c>
      <c r="O493"/>
    </row>
    <row r="494" spans="1:15" x14ac:dyDescent="0.25">
      <c r="A494">
        <v>660</v>
      </c>
      <c r="B494">
        <v>322</v>
      </c>
      <c r="C494" s="2">
        <v>27558.95</v>
      </c>
      <c r="D494" s="2">
        <v>27558.95</v>
      </c>
      <c r="E494" s="2">
        <v>0</v>
      </c>
      <c r="F494" s="1">
        <v>44697</v>
      </c>
      <c r="G494">
        <v>21</v>
      </c>
      <c r="H494" s="36" t="s">
        <v>57</v>
      </c>
      <c r="I494" s="48"/>
      <c r="J494" s="48"/>
      <c r="O494"/>
    </row>
    <row r="495" spans="1:15" x14ac:dyDescent="0.25">
      <c r="A495">
        <v>400</v>
      </c>
      <c r="B495">
        <v>11447</v>
      </c>
      <c r="C495" s="2">
        <v>95628.09</v>
      </c>
      <c r="D495" s="2">
        <v>97248.9</v>
      </c>
      <c r="E495" s="2">
        <v>1620.81</v>
      </c>
      <c r="F495" s="1">
        <v>44694</v>
      </c>
      <c r="G495">
        <v>20</v>
      </c>
      <c r="H495" s="36" t="s">
        <v>56</v>
      </c>
      <c r="I495" s="48"/>
      <c r="J495" s="48"/>
      <c r="O495"/>
    </row>
    <row r="496" spans="1:15" x14ac:dyDescent="0.25">
      <c r="A496">
        <v>416</v>
      </c>
      <c r="B496">
        <v>11448</v>
      </c>
      <c r="C496" s="2">
        <v>95628.09</v>
      </c>
      <c r="D496" s="2">
        <v>97248.9</v>
      </c>
      <c r="E496" s="2">
        <v>1620.81</v>
      </c>
      <c r="F496" s="1">
        <v>44694</v>
      </c>
      <c r="G496">
        <v>20</v>
      </c>
      <c r="H496" s="36" t="s">
        <v>56</v>
      </c>
      <c r="I496" s="48"/>
      <c r="J496" s="48"/>
      <c r="O496"/>
    </row>
    <row r="497" spans="1:15" x14ac:dyDescent="0.25">
      <c r="A497">
        <v>504</v>
      </c>
      <c r="B497">
        <v>11449</v>
      </c>
      <c r="C497" s="2">
        <v>331390.39</v>
      </c>
      <c r="D497" s="2">
        <v>1440827.8</v>
      </c>
      <c r="E497" s="2">
        <v>0</v>
      </c>
      <c r="F497" s="1">
        <v>44694</v>
      </c>
      <c r="G497">
        <v>20</v>
      </c>
      <c r="H497" s="36" t="s">
        <v>61</v>
      </c>
      <c r="I497" s="48" t="s">
        <v>120</v>
      </c>
      <c r="J497" s="48" t="s">
        <v>120</v>
      </c>
      <c r="O497"/>
    </row>
    <row r="498" spans="1:15" x14ac:dyDescent="0.25">
      <c r="A498">
        <v>395</v>
      </c>
      <c r="B498">
        <v>11433</v>
      </c>
      <c r="C498" s="2">
        <v>50799</v>
      </c>
      <c r="D498" s="2">
        <v>51660</v>
      </c>
      <c r="E498" s="2">
        <v>861</v>
      </c>
      <c r="F498" s="1">
        <v>44693</v>
      </c>
      <c r="G498">
        <v>20</v>
      </c>
      <c r="H498" s="36" t="s">
        <v>56</v>
      </c>
      <c r="I498" s="48"/>
      <c r="J498" s="48"/>
      <c r="O498"/>
    </row>
    <row r="499" spans="1:15" x14ac:dyDescent="0.25">
      <c r="A499">
        <v>397</v>
      </c>
      <c r="B499">
        <v>11434</v>
      </c>
      <c r="C499" s="2">
        <v>50799</v>
      </c>
      <c r="D499" s="2">
        <v>51660</v>
      </c>
      <c r="E499" s="2">
        <v>861</v>
      </c>
      <c r="F499" s="1">
        <v>44693</v>
      </c>
      <c r="G499">
        <v>20</v>
      </c>
      <c r="H499" s="36" t="s">
        <v>56</v>
      </c>
      <c r="I499" s="48"/>
      <c r="J499" s="48"/>
      <c r="O499"/>
    </row>
    <row r="500" spans="1:15" x14ac:dyDescent="0.25">
      <c r="A500">
        <v>403</v>
      </c>
      <c r="B500">
        <v>11435</v>
      </c>
      <c r="C500" s="2">
        <v>50799</v>
      </c>
      <c r="D500" s="2">
        <v>51660</v>
      </c>
      <c r="E500" s="2">
        <v>861</v>
      </c>
      <c r="F500" s="1">
        <v>44693</v>
      </c>
      <c r="G500">
        <v>20</v>
      </c>
      <c r="H500" s="36" t="s">
        <v>56</v>
      </c>
      <c r="I500" s="48"/>
      <c r="J500" s="48"/>
      <c r="O500"/>
    </row>
    <row r="501" spans="1:15" x14ac:dyDescent="0.25">
      <c r="A501">
        <v>409</v>
      </c>
      <c r="B501">
        <v>11436</v>
      </c>
      <c r="C501" s="2">
        <v>50799</v>
      </c>
      <c r="D501" s="2">
        <v>51660</v>
      </c>
      <c r="E501" s="2">
        <v>861</v>
      </c>
      <c r="F501" s="1">
        <v>44693</v>
      </c>
      <c r="G501">
        <v>20</v>
      </c>
      <c r="H501" s="36" t="s">
        <v>56</v>
      </c>
      <c r="I501" s="48"/>
      <c r="J501" s="48"/>
      <c r="O501"/>
    </row>
    <row r="502" spans="1:15" x14ac:dyDescent="0.25">
      <c r="A502">
        <v>411</v>
      </c>
      <c r="B502">
        <v>11437</v>
      </c>
      <c r="C502" s="2">
        <v>50799</v>
      </c>
      <c r="D502" s="2">
        <v>51660</v>
      </c>
      <c r="E502" s="2">
        <v>861</v>
      </c>
      <c r="F502" s="1">
        <v>44693</v>
      </c>
      <c r="G502">
        <v>20</v>
      </c>
      <c r="H502" s="36" t="s">
        <v>56</v>
      </c>
      <c r="I502" s="48"/>
      <c r="J502" s="48"/>
      <c r="O502"/>
    </row>
    <row r="503" spans="1:15" x14ac:dyDescent="0.25">
      <c r="A503">
        <v>415</v>
      </c>
      <c r="B503">
        <v>11438</v>
      </c>
      <c r="C503" s="2">
        <v>50799</v>
      </c>
      <c r="D503" s="2">
        <v>51660</v>
      </c>
      <c r="E503" s="2">
        <v>861</v>
      </c>
      <c r="F503" s="1">
        <v>44693</v>
      </c>
      <c r="G503">
        <v>20</v>
      </c>
      <c r="H503" s="36" t="s">
        <v>56</v>
      </c>
      <c r="I503" s="48"/>
      <c r="J503" s="48"/>
      <c r="O503"/>
    </row>
    <row r="504" spans="1:15" x14ac:dyDescent="0.25">
      <c r="A504">
        <v>419</v>
      </c>
      <c r="B504">
        <v>11439</v>
      </c>
      <c r="C504" s="2">
        <v>50799</v>
      </c>
      <c r="D504" s="2">
        <v>51660</v>
      </c>
      <c r="E504" s="2">
        <v>861</v>
      </c>
      <c r="F504" s="1">
        <v>44693</v>
      </c>
      <c r="G504">
        <v>20</v>
      </c>
      <c r="H504" s="36" t="s">
        <v>56</v>
      </c>
      <c r="I504" s="48"/>
      <c r="J504" s="48"/>
      <c r="O504"/>
    </row>
    <row r="505" spans="1:15" x14ac:dyDescent="0.25">
      <c r="A505">
        <v>421</v>
      </c>
      <c r="B505">
        <v>11440</v>
      </c>
      <c r="C505" s="2">
        <v>50799</v>
      </c>
      <c r="D505" s="2">
        <v>51660</v>
      </c>
      <c r="E505" s="2">
        <v>861</v>
      </c>
      <c r="F505" s="1">
        <v>44693</v>
      </c>
      <c r="G505">
        <v>20</v>
      </c>
      <c r="H505" s="36" t="s">
        <v>56</v>
      </c>
      <c r="I505" s="48"/>
      <c r="J505" s="48"/>
      <c r="O505"/>
    </row>
    <row r="506" spans="1:15" x14ac:dyDescent="0.25">
      <c r="A506">
        <v>441</v>
      </c>
      <c r="B506">
        <v>11441</v>
      </c>
      <c r="C506" s="2">
        <v>50799</v>
      </c>
      <c r="D506" s="2">
        <v>51660</v>
      </c>
      <c r="E506" s="2">
        <v>861</v>
      </c>
      <c r="F506" s="1">
        <v>44693</v>
      </c>
      <c r="G506">
        <v>20</v>
      </c>
      <c r="H506" s="36" t="s">
        <v>56</v>
      </c>
      <c r="I506" s="48"/>
      <c r="J506" s="48"/>
      <c r="O506"/>
    </row>
    <row r="507" spans="1:15" x14ac:dyDescent="0.25">
      <c r="A507">
        <v>445</v>
      </c>
      <c r="B507">
        <v>11442</v>
      </c>
      <c r="C507" s="2">
        <v>50799</v>
      </c>
      <c r="D507" s="2">
        <v>51660</v>
      </c>
      <c r="E507" s="2">
        <v>861</v>
      </c>
      <c r="F507" s="1">
        <v>44693</v>
      </c>
      <c r="G507">
        <v>20</v>
      </c>
      <c r="H507" s="36" t="s">
        <v>56</v>
      </c>
      <c r="I507" s="48"/>
      <c r="J507" s="48"/>
      <c r="O507"/>
    </row>
    <row r="508" spans="1:15" x14ac:dyDescent="0.25">
      <c r="A508">
        <v>472</v>
      </c>
      <c r="B508">
        <v>11443</v>
      </c>
      <c r="C508" s="2">
        <v>50799</v>
      </c>
      <c r="D508" s="2">
        <v>51660</v>
      </c>
      <c r="E508" s="2">
        <v>861</v>
      </c>
      <c r="F508" s="1">
        <v>44693</v>
      </c>
      <c r="G508">
        <v>20</v>
      </c>
      <c r="H508" s="36" t="s">
        <v>56</v>
      </c>
      <c r="I508" s="48"/>
      <c r="J508" s="48"/>
      <c r="O508"/>
    </row>
    <row r="509" spans="1:15" x14ac:dyDescent="0.25">
      <c r="A509">
        <v>475</v>
      </c>
      <c r="B509">
        <v>11444</v>
      </c>
      <c r="C509" s="2">
        <v>50799</v>
      </c>
      <c r="D509" s="2">
        <v>51660</v>
      </c>
      <c r="E509" s="2">
        <v>861</v>
      </c>
      <c r="F509" s="1">
        <v>44693</v>
      </c>
      <c r="G509">
        <v>20</v>
      </c>
      <c r="H509" s="36" t="s">
        <v>56</v>
      </c>
      <c r="I509" s="48"/>
      <c r="J509" s="48"/>
      <c r="O509"/>
    </row>
    <row r="510" spans="1:15" x14ac:dyDescent="0.25">
      <c r="A510">
        <v>483</v>
      </c>
      <c r="B510">
        <v>11445</v>
      </c>
      <c r="C510" s="2">
        <v>50799</v>
      </c>
      <c r="D510" s="2">
        <v>51660</v>
      </c>
      <c r="E510" s="2">
        <v>861</v>
      </c>
      <c r="F510" s="1">
        <v>44693</v>
      </c>
      <c r="G510">
        <v>20</v>
      </c>
      <c r="H510" s="36" t="s">
        <v>56</v>
      </c>
      <c r="I510" s="48"/>
      <c r="J510" s="48"/>
      <c r="O510"/>
    </row>
    <row r="511" spans="1:15" x14ac:dyDescent="0.25">
      <c r="A511">
        <v>491</v>
      </c>
      <c r="B511">
        <v>11446</v>
      </c>
      <c r="C511" s="2">
        <v>50799</v>
      </c>
      <c r="D511" s="2">
        <v>51660</v>
      </c>
      <c r="E511" s="2">
        <v>861</v>
      </c>
      <c r="F511" s="1">
        <v>44693</v>
      </c>
      <c r="G511">
        <v>20</v>
      </c>
      <c r="H511" s="36" t="s">
        <v>56</v>
      </c>
      <c r="I511" s="48"/>
      <c r="J511" s="48"/>
      <c r="O511"/>
    </row>
    <row r="512" spans="1:15" x14ac:dyDescent="0.25">
      <c r="A512">
        <v>382</v>
      </c>
      <c r="B512">
        <v>11429</v>
      </c>
      <c r="C512" s="2">
        <v>578946.85</v>
      </c>
      <c r="D512" s="2">
        <v>578946.85</v>
      </c>
      <c r="E512" s="2">
        <v>0</v>
      </c>
      <c r="F512" s="1">
        <v>44692</v>
      </c>
      <c r="G512">
        <v>20</v>
      </c>
      <c r="H512" s="36" t="s">
        <v>54</v>
      </c>
      <c r="I512" s="48"/>
      <c r="J512" s="48"/>
      <c r="O512"/>
    </row>
    <row r="513" spans="1:15" x14ac:dyDescent="0.25">
      <c r="A513">
        <v>385</v>
      </c>
      <c r="B513">
        <v>11429</v>
      </c>
      <c r="C513" s="2">
        <v>11334.12</v>
      </c>
      <c r="D513" s="2">
        <v>11334.12</v>
      </c>
      <c r="E513" s="2">
        <v>0</v>
      </c>
      <c r="F513" s="1">
        <v>44692</v>
      </c>
      <c r="G513">
        <v>20</v>
      </c>
      <c r="H513" s="36" t="s">
        <v>54</v>
      </c>
      <c r="I513" s="48"/>
      <c r="J513" s="48"/>
      <c r="O513"/>
    </row>
    <row r="514" spans="1:15" x14ac:dyDescent="0.25">
      <c r="A514">
        <v>386</v>
      </c>
      <c r="B514">
        <v>11430</v>
      </c>
      <c r="C514" s="2">
        <v>33586.31</v>
      </c>
      <c r="D514" s="2">
        <v>33586.31</v>
      </c>
      <c r="E514" s="2">
        <v>0</v>
      </c>
      <c r="F514" s="1">
        <v>44692</v>
      </c>
      <c r="G514">
        <v>20</v>
      </c>
      <c r="H514" s="36" t="s">
        <v>54</v>
      </c>
      <c r="I514" s="48"/>
      <c r="J514" s="48"/>
      <c r="O514"/>
    </row>
    <row r="515" spans="1:15" x14ac:dyDescent="0.25">
      <c r="A515">
        <v>504</v>
      </c>
      <c r="B515">
        <v>11421</v>
      </c>
      <c r="C515" s="2">
        <v>172899.34</v>
      </c>
      <c r="D515" s="2">
        <v>1440827.8</v>
      </c>
      <c r="E515" s="2">
        <v>0</v>
      </c>
      <c r="F515" s="1">
        <v>44687</v>
      </c>
      <c r="G515">
        <v>19</v>
      </c>
      <c r="H515" s="36" t="s">
        <v>61</v>
      </c>
      <c r="I515" s="48" t="s">
        <v>120</v>
      </c>
      <c r="J515" s="48" t="s">
        <v>120</v>
      </c>
      <c r="O515"/>
    </row>
    <row r="516" spans="1:15" x14ac:dyDescent="0.25">
      <c r="A516">
        <v>504</v>
      </c>
      <c r="B516">
        <v>11423</v>
      </c>
      <c r="C516" s="2">
        <v>115266.22</v>
      </c>
      <c r="D516" s="2">
        <v>1440827.8</v>
      </c>
      <c r="E516" s="2">
        <v>0</v>
      </c>
      <c r="F516" s="1">
        <v>44687</v>
      </c>
      <c r="G516">
        <v>19</v>
      </c>
      <c r="H516" s="36" t="s">
        <v>61</v>
      </c>
      <c r="I516" s="48" t="s">
        <v>120</v>
      </c>
      <c r="J516" s="48" t="s">
        <v>120</v>
      </c>
      <c r="O516"/>
    </row>
    <row r="517" spans="1:15" x14ac:dyDescent="0.25">
      <c r="A517">
        <v>394</v>
      </c>
      <c r="B517">
        <v>11419</v>
      </c>
      <c r="C517" s="2">
        <v>-108565</v>
      </c>
      <c r="D517" s="2">
        <v>108565</v>
      </c>
      <c r="E517" s="2">
        <v>108565</v>
      </c>
      <c r="F517" s="1">
        <v>44686</v>
      </c>
      <c r="G517">
        <v>19</v>
      </c>
      <c r="H517" s="36" t="s">
        <v>116</v>
      </c>
      <c r="I517" s="48"/>
      <c r="J517" s="48"/>
      <c r="O517"/>
    </row>
    <row r="518" spans="1:15" x14ac:dyDescent="0.25">
      <c r="A518">
        <v>263</v>
      </c>
      <c r="B518">
        <v>11409</v>
      </c>
      <c r="C518" s="2">
        <v>629594.34000000008</v>
      </c>
      <c r="D518" s="2">
        <v>6371798.1600000001</v>
      </c>
      <c r="E518" s="2">
        <v>22756.400000000001</v>
      </c>
      <c r="F518" s="1">
        <v>44680</v>
      </c>
      <c r="G518">
        <v>18</v>
      </c>
      <c r="H518" s="36" t="s">
        <v>112</v>
      </c>
      <c r="I518" s="48"/>
      <c r="J518" s="48"/>
      <c r="O518"/>
    </row>
    <row r="519" spans="1:15" x14ac:dyDescent="0.25">
      <c r="A519">
        <v>367</v>
      </c>
      <c r="B519">
        <v>11411</v>
      </c>
      <c r="C519" s="2">
        <v>305721.98</v>
      </c>
      <c r="D519" s="2">
        <v>13896453.720000001</v>
      </c>
      <c r="E519" s="2">
        <v>4162190.1</v>
      </c>
      <c r="F519" s="1">
        <v>44680</v>
      </c>
      <c r="G519">
        <v>18</v>
      </c>
      <c r="H519" s="36" t="s">
        <v>64</v>
      </c>
      <c r="I519" s="48" t="s">
        <v>117</v>
      </c>
      <c r="J519" s="48" t="s">
        <v>115</v>
      </c>
      <c r="O519"/>
    </row>
    <row r="520" spans="1:15" x14ac:dyDescent="0.25">
      <c r="A520">
        <v>367</v>
      </c>
      <c r="B520">
        <v>11412</v>
      </c>
      <c r="C520" s="2">
        <v>305721.98</v>
      </c>
      <c r="D520" s="2">
        <v>13896453.720000001</v>
      </c>
      <c r="E520" s="2">
        <v>4162190.1</v>
      </c>
      <c r="F520" s="1">
        <v>44680</v>
      </c>
      <c r="G520">
        <v>18</v>
      </c>
      <c r="H520" s="36" t="s">
        <v>64</v>
      </c>
      <c r="I520" s="48" t="s">
        <v>117</v>
      </c>
      <c r="J520" s="48" t="s">
        <v>115</v>
      </c>
      <c r="O520"/>
    </row>
    <row r="521" spans="1:15" x14ac:dyDescent="0.25">
      <c r="A521">
        <v>373</v>
      </c>
      <c r="B521">
        <v>11410</v>
      </c>
      <c r="C521" s="2">
        <v>797273.02</v>
      </c>
      <c r="D521" s="2">
        <v>1594546.04</v>
      </c>
      <c r="E521" s="2">
        <v>0</v>
      </c>
      <c r="F521" s="1">
        <v>44680</v>
      </c>
      <c r="G521">
        <v>18</v>
      </c>
      <c r="H521" s="36" t="s">
        <v>98</v>
      </c>
      <c r="I521" s="48" t="s">
        <v>118</v>
      </c>
      <c r="J521" s="48"/>
      <c r="O521"/>
    </row>
    <row r="522" spans="1:15" x14ac:dyDescent="0.25">
      <c r="A522">
        <v>399</v>
      </c>
      <c r="B522">
        <v>11396</v>
      </c>
      <c r="C522" s="2">
        <v>51045</v>
      </c>
      <c r="D522" s="2">
        <v>51660</v>
      </c>
      <c r="E522" s="2">
        <v>615</v>
      </c>
      <c r="F522" s="1">
        <v>44680</v>
      </c>
      <c r="G522">
        <v>18</v>
      </c>
      <c r="H522" s="36" t="s">
        <v>56</v>
      </c>
      <c r="I522" s="48"/>
      <c r="J522" s="48"/>
      <c r="O522"/>
    </row>
    <row r="523" spans="1:15" x14ac:dyDescent="0.25">
      <c r="A523">
        <v>401</v>
      </c>
      <c r="B523">
        <v>11397</v>
      </c>
      <c r="C523" s="2">
        <v>51045</v>
      </c>
      <c r="D523" s="2">
        <v>51660</v>
      </c>
      <c r="E523" s="2">
        <v>615</v>
      </c>
      <c r="F523" s="1">
        <v>44680</v>
      </c>
      <c r="G523">
        <v>18</v>
      </c>
      <c r="H523" s="36" t="s">
        <v>56</v>
      </c>
      <c r="I523" s="48"/>
      <c r="J523" s="48"/>
      <c r="O523"/>
    </row>
    <row r="524" spans="1:15" x14ac:dyDescent="0.25">
      <c r="A524">
        <v>405</v>
      </c>
      <c r="B524">
        <v>11398</v>
      </c>
      <c r="C524" s="2">
        <v>51045</v>
      </c>
      <c r="D524" s="2">
        <v>51660</v>
      </c>
      <c r="E524" s="2">
        <v>615</v>
      </c>
      <c r="F524" s="1">
        <v>44680</v>
      </c>
      <c r="G524">
        <v>18</v>
      </c>
      <c r="H524" s="36" t="s">
        <v>56</v>
      </c>
      <c r="I524" s="48"/>
      <c r="J524" s="48"/>
      <c r="O524"/>
    </row>
    <row r="525" spans="1:15" x14ac:dyDescent="0.25">
      <c r="A525">
        <v>407</v>
      </c>
      <c r="B525">
        <v>11399</v>
      </c>
      <c r="C525" s="2">
        <v>51045</v>
      </c>
      <c r="D525" s="2">
        <v>51660</v>
      </c>
      <c r="E525" s="2">
        <v>615</v>
      </c>
      <c r="F525" s="1">
        <v>44680</v>
      </c>
      <c r="G525">
        <v>18</v>
      </c>
      <c r="H525" s="36" t="s">
        <v>56</v>
      </c>
      <c r="I525" s="48"/>
      <c r="J525" s="48"/>
      <c r="O525"/>
    </row>
    <row r="526" spans="1:15" x14ac:dyDescent="0.25">
      <c r="A526">
        <v>417</v>
      </c>
      <c r="B526">
        <v>11400</v>
      </c>
      <c r="C526" s="2">
        <v>51045</v>
      </c>
      <c r="D526" s="2">
        <v>51660</v>
      </c>
      <c r="E526" s="2">
        <v>615</v>
      </c>
      <c r="F526" s="1">
        <v>44680</v>
      </c>
      <c r="G526">
        <v>18</v>
      </c>
      <c r="H526" s="36" t="s">
        <v>56</v>
      </c>
      <c r="I526" s="48"/>
      <c r="J526" s="48"/>
      <c r="O526"/>
    </row>
    <row r="527" spans="1:15" x14ac:dyDescent="0.25">
      <c r="A527">
        <v>427</v>
      </c>
      <c r="B527">
        <v>11401</v>
      </c>
      <c r="C527" s="2">
        <v>51045</v>
      </c>
      <c r="D527" s="2">
        <v>51660</v>
      </c>
      <c r="E527" s="2">
        <v>615</v>
      </c>
      <c r="F527" s="1">
        <v>44680</v>
      </c>
      <c r="G527">
        <v>18</v>
      </c>
      <c r="H527" s="36" t="s">
        <v>56</v>
      </c>
      <c r="I527" s="48"/>
      <c r="J527" s="48"/>
      <c r="O527"/>
    </row>
    <row r="528" spans="1:15" x14ac:dyDescent="0.25">
      <c r="A528">
        <v>432</v>
      </c>
      <c r="B528">
        <v>11402</v>
      </c>
      <c r="C528" s="2">
        <v>51045</v>
      </c>
      <c r="D528" s="2">
        <v>51660</v>
      </c>
      <c r="E528" s="2">
        <v>615</v>
      </c>
      <c r="F528" s="1">
        <v>44680</v>
      </c>
      <c r="G528">
        <v>18</v>
      </c>
      <c r="H528" s="36" t="s">
        <v>56</v>
      </c>
      <c r="I528" s="48"/>
      <c r="J528" s="48"/>
      <c r="O528"/>
    </row>
    <row r="529" spans="1:15" x14ac:dyDescent="0.25">
      <c r="A529">
        <v>435</v>
      </c>
      <c r="B529">
        <v>11403</v>
      </c>
      <c r="C529" s="2">
        <v>51045</v>
      </c>
      <c r="D529" s="2">
        <v>51660</v>
      </c>
      <c r="E529" s="2">
        <v>615</v>
      </c>
      <c r="F529" s="1">
        <v>44680</v>
      </c>
      <c r="G529">
        <v>18</v>
      </c>
      <c r="H529" s="36" t="s">
        <v>56</v>
      </c>
      <c r="I529" s="48"/>
      <c r="J529" s="48"/>
      <c r="O529"/>
    </row>
    <row r="530" spans="1:15" x14ac:dyDescent="0.25">
      <c r="A530">
        <v>473</v>
      </c>
      <c r="B530">
        <v>11404</v>
      </c>
      <c r="C530" s="2">
        <v>51045</v>
      </c>
      <c r="D530" s="2">
        <v>51660</v>
      </c>
      <c r="E530" s="2">
        <v>615</v>
      </c>
      <c r="F530" s="1">
        <v>44680</v>
      </c>
      <c r="G530">
        <v>18</v>
      </c>
      <c r="H530" s="36" t="s">
        <v>56</v>
      </c>
      <c r="I530" s="48"/>
      <c r="J530" s="48"/>
      <c r="O530"/>
    </row>
    <row r="531" spans="1:15" x14ac:dyDescent="0.25">
      <c r="A531">
        <v>477</v>
      </c>
      <c r="B531">
        <v>11405</v>
      </c>
      <c r="C531" s="2">
        <v>51045</v>
      </c>
      <c r="D531" s="2">
        <v>51660</v>
      </c>
      <c r="E531" s="2">
        <v>615</v>
      </c>
      <c r="F531" s="1">
        <v>44680</v>
      </c>
      <c r="G531">
        <v>18</v>
      </c>
      <c r="H531" s="36" t="s">
        <v>56</v>
      </c>
      <c r="I531" s="48"/>
      <c r="J531" s="48"/>
      <c r="O531"/>
    </row>
    <row r="532" spans="1:15" x14ac:dyDescent="0.25">
      <c r="A532">
        <v>481</v>
      </c>
      <c r="B532">
        <v>11406</v>
      </c>
      <c r="C532" s="2">
        <v>51045</v>
      </c>
      <c r="D532" s="2">
        <v>51660</v>
      </c>
      <c r="E532" s="2">
        <v>615</v>
      </c>
      <c r="F532" s="1">
        <v>44680</v>
      </c>
      <c r="G532">
        <v>18</v>
      </c>
      <c r="H532" s="36" t="s">
        <v>56</v>
      </c>
      <c r="I532" s="48"/>
      <c r="J532" s="48"/>
      <c r="O532"/>
    </row>
    <row r="533" spans="1:15" x14ac:dyDescent="0.25">
      <c r="A533">
        <v>489</v>
      </c>
      <c r="B533">
        <v>11407</v>
      </c>
      <c r="C533" s="2">
        <v>51045</v>
      </c>
      <c r="D533" s="2">
        <v>51660</v>
      </c>
      <c r="E533" s="2">
        <v>615</v>
      </c>
      <c r="F533" s="1">
        <v>44680</v>
      </c>
      <c r="G533">
        <v>18</v>
      </c>
      <c r="H533" s="36" t="s">
        <v>56</v>
      </c>
      <c r="I533" s="48"/>
      <c r="J533" s="48"/>
      <c r="O533"/>
    </row>
    <row r="534" spans="1:15" x14ac:dyDescent="0.25">
      <c r="A534">
        <v>497</v>
      </c>
      <c r="B534">
        <v>11408</v>
      </c>
      <c r="C534" s="2">
        <v>51045</v>
      </c>
      <c r="D534" s="2">
        <v>51660</v>
      </c>
      <c r="E534" s="2">
        <v>615</v>
      </c>
      <c r="F534" s="1">
        <v>44680</v>
      </c>
      <c r="G534">
        <v>18</v>
      </c>
      <c r="H534" s="36" t="s">
        <v>56</v>
      </c>
      <c r="I534" s="48"/>
      <c r="J534" s="48"/>
      <c r="O534"/>
    </row>
    <row r="535" spans="1:15" x14ac:dyDescent="0.25">
      <c r="A535">
        <v>373</v>
      </c>
      <c r="B535">
        <v>11393</v>
      </c>
      <c r="C535" s="2">
        <v>797273.02</v>
      </c>
      <c r="D535" s="2">
        <v>1594546.04</v>
      </c>
      <c r="E535" s="2">
        <v>0</v>
      </c>
      <c r="F535" s="1">
        <v>44679</v>
      </c>
      <c r="G535">
        <v>18</v>
      </c>
      <c r="H535" s="36" t="s">
        <v>98</v>
      </c>
      <c r="I535" s="48" t="s">
        <v>118</v>
      </c>
      <c r="J535" s="48"/>
      <c r="O535"/>
    </row>
    <row r="536" spans="1:15" x14ac:dyDescent="0.25">
      <c r="A536">
        <v>363</v>
      </c>
      <c r="B536">
        <v>11392</v>
      </c>
      <c r="C536" s="2">
        <v>938160</v>
      </c>
      <c r="D536" s="2">
        <v>7505280</v>
      </c>
      <c r="E536" s="2">
        <v>0</v>
      </c>
      <c r="F536" s="1">
        <v>44678</v>
      </c>
      <c r="G536">
        <v>18</v>
      </c>
      <c r="H536" s="36" t="s">
        <v>98</v>
      </c>
      <c r="I536" s="48" t="s">
        <v>114</v>
      </c>
      <c r="J536" s="48" t="s">
        <v>115</v>
      </c>
      <c r="O536"/>
    </row>
    <row r="537" spans="1:15" x14ac:dyDescent="0.25">
      <c r="A537">
        <v>263</v>
      </c>
      <c r="B537">
        <v>11384</v>
      </c>
      <c r="C537" s="2">
        <v>629594.34000000008</v>
      </c>
      <c r="D537" s="2">
        <v>6371798.1600000001</v>
      </c>
      <c r="E537" s="2">
        <v>22756.400000000001</v>
      </c>
      <c r="F537" s="1">
        <v>44673</v>
      </c>
      <c r="G537">
        <v>17</v>
      </c>
      <c r="H537" s="36" t="s">
        <v>112</v>
      </c>
      <c r="I537" s="48"/>
      <c r="J537" s="48"/>
      <c r="O537"/>
    </row>
    <row r="538" spans="1:15" x14ac:dyDescent="0.25">
      <c r="A538">
        <v>537</v>
      </c>
      <c r="B538">
        <v>11385</v>
      </c>
      <c r="C538" s="2">
        <v>57587.92</v>
      </c>
      <c r="D538" s="2">
        <v>57587.92</v>
      </c>
      <c r="E538" s="2">
        <v>0</v>
      </c>
      <c r="F538" s="1">
        <v>44673</v>
      </c>
      <c r="G538">
        <v>17</v>
      </c>
      <c r="H538" s="36" t="s">
        <v>54</v>
      </c>
      <c r="I538" s="48"/>
      <c r="J538" s="48"/>
      <c r="O538"/>
    </row>
    <row r="539" spans="1:15" x14ac:dyDescent="0.25">
      <c r="A539">
        <v>548</v>
      </c>
      <c r="B539">
        <v>11385</v>
      </c>
      <c r="C539" s="2">
        <v>63619.79</v>
      </c>
      <c r="D539" s="2">
        <v>63619.79</v>
      </c>
      <c r="E539" s="2">
        <v>0</v>
      </c>
      <c r="F539" s="1">
        <v>44673</v>
      </c>
      <c r="G539">
        <v>17</v>
      </c>
      <c r="H539" s="36" t="s">
        <v>54</v>
      </c>
      <c r="I539" s="48"/>
      <c r="J539" s="48"/>
      <c r="O539"/>
    </row>
    <row r="540" spans="1:15" x14ac:dyDescent="0.25">
      <c r="A540">
        <v>347</v>
      </c>
      <c r="B540">
        <v>11380</v>
      </c>
      <c r="C540" s="2">
        <v>120930.29000000001</v>
      </c>
      <c r="D540" s="2">
        <v>122387.29</v>
      </c>
      <c r="E540" s="2">
        <v>1457</v>
      </c>
      <c r="F540" s="1">
        <v>44670</v>
      </c>
      <c r="G540">
        <v>17</v>
      </c>
      <c r="H540" s="36" t="s">
        <v>56</v>
      </c>
      <c r="I540" s="48"/>
      <c r="J540" s="48"/>
      <c r="O540"/>
    </row>
    <row r="541" spans="1:15" x14ac:dyDescent="0.25">
      <c r="A541">
        <v>348</v>
      </c>
      <c r="B541">
        <v>11381</v>
      </c>
      <c r="C541" s="2">
        <v>210413.73</v>
      </c>
      <c r="D541" s="2">
        <v>212948.83</v>
      </c>
      <c r="E541" s="2">
        <v>2535.1</v>
      </c>
      <c r="F541" s="1">
        <v>44670</v>
      </c>
      <c r="G541">
        <v>17</v>
      </c>
      <c r="H541" s="36" t="s">
        <v>56</v>
      </c>
      <c r="I541" s="48"/>
      <c r="J541" s="48"/>
      <c r="O541"/>
    </row>
    <row r="542" spans="1:15" x14ac:dyDescent="0.25">
      <c r="A542">
        <v>535</v>
      </c>
      <c r="B542">
        <v>11375</v>
      </c>
      <c r="C542" s="2">
        <v>57587.92</v>
      </c>
      <c r="D542" s="2">
        <v>57587.92</v>
      </c>
      <c r="E542" s="2">
        <v>0</v>
      </c>
      <c r="F542" s="1">
        <v>44670</v>
      </c>
      <c r="G542">
        <v>17</v>
      </c>
      <c r="H542" s="36" t="s">
        <v>54</v>
      </c>
      <c r="I542" s="48"/>
      <c r="J542" s="48"/>
      <c r="O542"/>
    </row>
    <row r="543" spans="1:15" x14ac:dyDescent="0.25">
      <c r="A543">
        <v>536</v>
      </c>
      <c r="B543">
        <v>11375</v>
      </c>
      <c r="C543" s="2">
        <v>57587.92</v>
      </c>
      <c r="D543" s="2">
        <v>57587.92</v>
      </c>
      <c r="E543" s="2">
        <v>0</v>
      </c>
      <c r="F543" s="1">
        <v>44670</v>
      </c>
      <c r="G543">
        <v>17</v>
      </c>
      <c r="H543" s="36" t="s">
        <v>54</v>
      </c>
      <c r="I543" s="48"/>
      <c r="J543" s="48"/>
      <c r="O543"/>
    </row>
    <row r="544" spans="1:15" x14ac:dyDescent="0.25">
      <c r="A544">
        <v>540</v>
      </c>
      <c r="B544">
        <v>11375</v>
      </c>
      <c r="C544" s="2">
        <v>63619.79</v>
      </c>
      <c r="D544" s="2">
        <v>63619.79</v>
      </c>
      <c r="E544" s="2">
        <v>0</v>
      </c>
      <c r="F544" s="1">
        <v>44670</v>
      </c>
      <c r="G544">
        <v>17</v>
      </c>
      <c r="H544" s="36" t="s">
        <v>54</v>
      </c>
      <c r="I544" s="48"/>
      <c r="J544" s="48"/>
      <c r="O544"/>
    </row>
    <row r="545" spans="1:15" x14ac:dyDescent="0.25">
      <c r="A545">
        <v>547</v>
      </c>
      <c r="B545">
        <v>11375</v>
      </c>
      <c r="C545" s="2">
        <v>63619.79</v>
      </c>
      <c r="D545" s="2">
        <v>63619.79</v>
      </c>
      <c r="E545" s="2">
        <v>0</v>
      </c>
      <c r="F545" s="1">
        <v>44670</v>
      </c>
      <c r="G545">
        <v>17</v>
      </c>
      <c r="H545" s="36" t="s">
        <v>54</v>
      </c>
      <c r="I545" s="48"/>
      <c r="J545" s="48"/>
      <c r="O545"/>
    </row>
    <row r="546" spans="1:15" x14ac:dyDescent="0.25">
      <c r="A546">
        <v>559</v>
      </c>
      <c r="B546">
        <v>11374</v>
      </c>
      <c r="C546" s="2">
        <v>98251.1</v>
      </c>
      <c r="D546" s="2">
        <v>103163.66</v>
      </c>
      <c r="E546" s="2">
        <v>4912.5600000000004</v>
      </c>
      <c r="F546" s="1">
        <v>44670</v>
      </c>
      <c r="G546">
        <v>17</v>
      </c>
      <c r="H546" s="36" t="s">
        <v>59</v>
      </c>
      <c r="I546" s="48"/>
      <c r="J546" s="48"/>
      <c r="O546"/>
    </row>
    <row r="547" spans="1:15" x14ac:dyDescent="0.25">
      <c r="A547">
        <v>363</v>
      </c>
      <c r="B547">
        <v>11372</v>
      </c>
      <c r="C547" s="2">
        <v>938160</v>
      </c>
      <c r="D547" s="2">
        <v>7505280</v>
      </c>
      <c r="E547" s="2">
        <v>0</v>
      </c>
      <c r="F547" s="1">
        <v>44665</v>
      </c>
      <c r="G547">
        <v>16</v>
      </c>
      <c r="H547" s="36" t="s">
        <v>98</v>
      </c>
      <c r="I547" s="48" t="s">
        <v>114</v>
      </c>
      <c r="J547" s="48" t="s">
        <v>115</v>
      </c>
      <c r="O547"/>
    </row>
    <row r="548" spans="1:15" x14ac:dyDescent="0.25">
      <c r="A548">
        <v>363</v>
      </c>
      <c r="B548">
        <v>11366</v>
      </c>
      <c r="C548" s="2">
        <v>938160</v>
      </c>
      <c r="D548" s="2">
        <v>7505280</v>
      </c>
      <c r="E548" s="2">
        <v>0</v>
      </c>
      <c r="F548" s="1">
        <v>44663</v>
      </c>
      <c r="G548">
        <v>16</v>
      </c>
      <c r="H548" s="36" t="s">
        <v>98</v>
      </c>
      <c r="I548" s="48" t="s">
        <v>114</v>
      </c>
      <c r="J548" s="48" t="s">
        <v>115</v>
      </c>
      <c r="O548"/>
    </row>
    <row r="549" spans="1:15" x14ac:dyDescent="0.25">
      <c r="A549">
        <v>263</v>
      </c>
      <c r="B549">
        <v>11364</v>
      </c>
      <c r="C549" s="2">
        <v>629594.34000000008</v>
      </c>
      <c r="D549" s="2">
        <v>6371798.1600000001</v>
      </c>
      <c r="E549" s="2">
        <v>22756.400000000001</v>
      </c>
      <c r="F549" s="1">
        <v>44662</v>
      </c>
      <c r="G549">
        <v>16</v>
      </c>
      <c r="H549" s="36" t="s">
        <v>112</v>
      </c>
      <c r="I549" s="48"/>
      <c r="J549" s="48"/>
      <c r="O549"/>
    </row>
    <row r="550" spans="1:15" x14ac:dyDescent="0.25">
      <c r="A550">
        <v>30</v>
      </c>
      <c r="B550">
        <v>2</v>
      </c>
      <c r="C550" s="2">
        <v>9185.8700000000008</v>
      </c>
      <c r="D550" s="2">
        <v>9185.8700000000008</v>
      </c>
      <c r="E550" s="2">
        <v>0</v>
      </c>
      <c r="F550" s="1">
        <v>44658</v>
      </c>
      <c r="G550">
        <v>15</v>
      </c>
      <c r="H550" s="36" t="s">
        <v>55</v>
      </c>
      <c r="I550" s="48"/>
      <c r="J550" s="48"/>
      <c r="O550"/>
    </row>
    <row r="551" spans="1:15" x14ac:dyDescent="0.25">
      <c r="A551">
        <v>555</v>
      </c>
      <c r="B551">
        <v>11357</v>
      </c>
      <c r="C551" s="2">
        <v>40232.15</v>
      </c>
      <c r="D551" s="2">
        <v>40232.15</v>
      </c>
      <c r="E551" s="2">
        <v>0</v>
      </c>
      <c r="F551" s="1">
        <v>44655</v>
      </c>
      <c r="G551">
        <v>15</v>
      </c>
      <c r="H551" s="36" t="s">
        <v>54</v>
      </c>
      <c r="I551" s="48"/>
      <c r="J551" s="48"/>
      <c r="O551"/>
    </row>
    <row r="552" spans="1:15" x14ac:dyDescent="0.25">
      <c r="A552">
        <v>556</v>
      </c>
      <c r="B552">
        <v>11357</v>
      </c>
      <c r="C552" s="2">
        <v>40232.15</v>
      </c>
      <c r="D552" s="2">
        <v>40232.15</v>
      </c>
      <c r="E552" s="2">
        <v>0</v>
      </c>
      <c r="F552" s="1">
        <v>44655</v>
      </c>
      <c r="G552">
        <v>15</v>
      </c>
      <c r="H552" s="36" t="s">
        <v>54</v>
      </c>
      <c r="I552" s="48"/>
      <c r="J552" s="48"/>
      <c r="O552"/>
    </row>
    <row r="553" spans="1:15" x14ac:dyDescent="0.25">
      <c r="A553">
        <v>557</v>
      </c>
      <c r="B553">
        <v>11357</v>
      </c>
      <c r="C553" s="2">
        <v>40232.15</v>
      </c>
      <c r="D553" s="2">
        <v>40232.15</v>
      </c>
      <c r="E553" s="2">
        <v>0</v>
      </c>
      <c r="F553" s="1">
        <v>44655</v>
      </c>
      <c r="G553">
        <v>15</v>
      </c>
      <c r="H553" s="36" t="s">
        <v>54</v>
      </c>
      <c r="I553" s="48"/>
      <c r="J553" s="48"/>
      <c r="O553"/>
    </row>
    <row r="554" spans="1:15" x14ac:dyDescent="0.25">
      <c r="A554">
        <v>367</v>
      </c>
      <c r="B554">
        <v>11348</v>
      </c>
      <c r="C554" s="2">
        <v>230681.13</v>
      </c>
      <c r="D554" s="2">
        <v>13896453.720000001</v>
      </c>
      <c r="E554" s="2">
        <v>4162190.1</v>
      </c>
      <c r="F554" s="1">
        <v>44648</v>
      </c>
      <c r="G554">
        <v>14</v>
      </c>
      <c r="H554" s="36" t="s">
        <v>64</v>
      </c>
      <c r="I554" s="48" t="s">
        <v>117</v>
      </c>
      <c r="J554" s="48" t="s">
        <v>115</v>
      </c>
      <c r="O554"/>
    </row>
    <row r="555" spans="1:15" x14ac:dyDescent="0.25">
      <c r="A555">
        <v>262</v>
      </c>
      <c r="B555">
        <v>11347</v>
      </c>
      <c r="C555" s="2">
        <v>530566.14</v>
      </c>
      <c r="D555" s="2">
        <v>536958.5</v>
      </c>
      <c r="E555" s="2">
        <v>6392.36</v>
      </c>
      <c r="F555" s="1">
        <v>44645</v>
      </c>
      <c r="G555">
        <v>13</v>
      </c>
      <c r="H555" s="36" t="s">
        <v>112</v>
      </c>
      <c r="I555" s="48"/>
      <c r="J555" s="48"/>
      <c r="O555"/>
    </row>
    <row r="556" spans="1:15" x14ac:dyDescent="0.25">
      <c r="A556">
        <v>367</v>
      </c>
      <c r="B556">
        <v>11345</v>
      </c>
      <c r="C556" s="2">
        <v>152860.99</v>
      </c>
      <c r="D556" s="2">
        <v>13896453.720000001</v>
      </c>
      <c r="E556" s="2">
        <v>4162190.1</v>
      </c>
      <c r="F556" s="1">
        <v>44645</v>
      </c>
      <c r="G556">
        <v>13</v>
      </c>
      <c r="H556" s="36" t="s">
        <v>64</v>
      </c>
      <c r="I556" s="48" t="s">
        <v>117</v>
      </c>
      <c r="J556" s="48" t="s">
        <v>115</v>
      </c>
      <c r="O556"/>
    </row>
    <row r="557" spans="1:15" x14ac:dyDescent="0.25">
      <c r="A557">
        <v>367</v>
      </c>
      <c r="B557">
        <v>11341</v>
      </c>
      <c r="C557" s="2">
        <v>75040.850000000006</v>
      </c>
      <c r="D557" s="2">
        <v>13896453.720000001</v>
      </c>
      <c r="E557" s="2">
        <v>4162190.1</v>
      </c>
      <c r="F557" s="1">
        <v>44641</v>
      </c>
      <c r="G557">
        <v>13</v>
      </c>
      <c r="H557" s="36" t="s">
        <v>64</v>
      </c>
      <c r="I557" s="48" t="s">
        <v>117</v>
      </c>
      <c r="J557" s="48" t="s">
        <v>115</v>
      </c>
      <c r="O557"/>
    </row>
    <row r="558" spans="1:15" x14ac:dyDescent="0.25">
      <c r="A558">
        <v>367</v>
      </c>
      <c r="B558">
        <v>11342</v>
      </c>
      <c r="C558" s="2">
        <v>152860.99</v>
      </c>
      <c r="D558" s="2">
        <v>13896453.720000001</v>
      </c>
      <c r="E558" s="2">
        <v>4162190.1</v>
      </c>
      <c r="F558" s="1">
        <v>44641</v>
      </c>
      <c r="G558">
        <v>13</v>
      </c>
      <c r="H558" s="36" t="s">
        <v>64</v>
      </c>
      <c r="I558" s="48" t="s">
        <v>117</v>
      </c>
      <c r="J558" s="48" t="s">
        <v>115</v>
      </c>
      <c r="O558"/>
    </row>
    <row r="559" spans="1:15" x14ac:dyDescent="0.25">
      <c r="A559">
        <v>264</v>
      </c>
      <c r="B559">
        <v>11333</v>
      </c>
      <c r="C559" s="2">
        <v>896349.54</v>
      </c>
      <c r="D559" s="2">
        <v>5442893.5700000003</v>
      </c>
      <c r="E559" s="2">
        <v>2732246.17</v>
      </c>
      <c r="F559" s="1">
        <v>44638</v>
      </c>
      <c r="G559">
        <v>12</v>
      </c>
      <c r="H559" s="36" t="s">
        <v>112</v>
      </c>
      <c r="I559" s="48"/>
      <c r="J559" s="48"/>
      <c r="O559"/>
    </row>
    <row r="560" spans="1:15" x14ac:dyDescent="0.25">
      <c r="A560">
        <v>367</v>
      </c>
      <c r="B560">
        <v>11334</v>
      </c>
      <c r="C560" s="2">
        <v>230681.13</v>
      </c>
      <c r="D560" s="2">
        <v>13896453.720000001</v>
      </c>
      <c r="E560" s="2">
        <v>4162190.1</v>
      </c>
      <c r="F560" s="1">
        <v>44638</v>
      </c>
      <c r="G560">
        <v>12</v>
      </c>
      <c r="H560" s="36" t="s">
        <v>64</v>
      </c>
      <c r="I560" s="48" t="s">
        <v>117</v>
      </c>
      <c r="J560" s="48" t="s">
        <v>115</v>
      </c>
      <c r="O560"/>
    </row>
    <row r="561" spans="1:15" x14ac:dyDescent="0.25">
      <c r="A561">
        <v>394</v>
      </c>
      <c r="B561">
        <v>11336</v>
      </c>
      <c r="C561" s="2">
        <v>108565</v>
      </c>
      <c r="D561" s="2">
        <v>108565</v>
      </c>
      <c r="E561" s="2">
        <v>108565</v>
      </c>
      <c r="F561" s="1">
        <v>44638</v>
      </c>
      <c r="G561">
        <v>12</v>
      </c>
      <c r="H561" s="36" t="s">
        <v>116</v>
      </c>
      <c r="I561" s="48"/>
      <c r="J561" s="48"/>
      <c r="O561"/>
    </row>
    <row r="562" spans="1:15" x14ac:dyDescent="0.25">
      <c r="A562">
        <v>367</v>
      </c>
      <c r="B562">
        <v>11329</v>
      </c>
      <c r="C562" s="2">
        <v>152860.99</v>
      </c>
      <c r="D562" s="2">
        <v>13896453.720000001</v>
      </c>
      <c r="E562" s="2">
        <v>4162190.1</v>
      </c>
      <c r="F562" s="1">
        <v>44635</v>
      </c>
      <c r="G562">
        <v>12</v>
      </c>
      <c r="H562" s="36" t="s">
        <v>64</v>
      </c>
      <c r="I562" s="48" t="s">
        <v>117</v>
      </c>
      <c r="J562" s="48" t="s">
        <v>115</v>
      </c>
      <c r="O562"/>
    </row>
    <row r="563" spans="1:15" x14ac:dyDescent="0.25">
      <c r="A563">
        <v>383</v>
      </c>
      <c r="B563">
        <v>11327</v>
      </c>
      <c r="C563" s="2">
        <v>94923.36</v>
      </c>
      <c r="D563" s="2">
        <v>94923.36</v>
      </c>
      <c r="E563" s="2">
        <v>0</v>
      </c>
      <c r="F563" s="1">
        <v>44635</v>
      </c>
      <c r="G563">
        <v>12</v>
      </c>
      <c r="H563" s="36" t="s">
        <v>54</v>
      </c>
      <c r="I563" s="48"/>
      <c r="J563" s="48"/>
      <c r="O563"/>
    </row>
    <row r="564" spans="1:15" x14ac:dyDescent="0.25">
      <c r="A564">
        <v>384</v>
      </c>
      <c r="B564">
        <v>11327</v>
      </c>
      <c r="C564" s="2">
        <v>92538.87</v>
      </c>
      <c r="D564" s="2">
        <v>92538.87</v>
      </c>
      <c r="E564" s="2">
        <v>0</v>
      </c>
      <c r="F564" s="1">
        <v>44635</v>
      </c>
      <c r="G564">
        <v>12</v>
      </c>
      <c r="H564" s="36" t="s">
        <v>54</v>
      </c>
      <c r="I564" s="48"/>
      <c r="J564" s="48"/>
      <c r="O564"/>
    </row>
    <row r="565" spans="1:15" x14ac:dyDescent="0.25">
      <c r="A565">
        <v>263</v>
      </c>
      <c r="B565">
        <v>11321</v>
      </c>
      <c r="C565" s="2">
        <v>637179.82000000007</v>
      </c>
      <c r="D565" s="2">
        <v>6371798.1600000001</v>
      </c>
      <c r="E565" s="2">
        <v>22756.400000000001</v>
      </c>
      <c r="F565" s="1">
        <v>44631</v>
      </c>
      <c r="G565">
        <v>11</v>
      </c>
      <c r="H565" s="36" t="s">
        <v>112</v>
      </c>
      <c r="I565" s="48"/>
      <c r="J565" s="48"/>
      <c r="O565"/>
    </row>
    <row r="566" spans="1:15" x14ac:dyDescent="0.25">
      <c r="A566">
        <v>367</v>
      </c>
      <c r="B566">
        <v>11322</v>
      </c>
      <c r="C566" s="2">
        <v>230681.13</v>
      </c>
      <c r="D566" s="2">
        <v>13896453.720000001</v>
      </c>
      <c r="E566" s="2">
        <v>4162190.1</v>
      </c>
      <c r="F566" s="1">
        <v>44631</v>
      </c>
      <c r="G566">
        <v>11</v>
      </c>
      <c r="H566" s="36" t="s">
        <v>64</v>
      </c>
      <c r="I566" s="48" t="s">
        <v>117</v>
      </c>
      <c r="J566" s="48" t="s">
        <v>115</v>
      </c>
      <c r="O566"/>
    </row>
    <row r="567" spans="1:15" x14ac:dyDescent="0.25">
      <c r="A567">
        <v>366</v>
      </c>
      <c r="B567">
        <v>11315</v>
      </c>
      <c r="C567" s="2">
        <v>369236.57</v>
      </c>
      <c r="D567" s="2">
        <v>587956.31999999995</v>
      </c>
      <c r="E567" s="2">
        <v>0</v>
      </c>
      <c r="F567" s="1">
        <v>44629</v>
      </c>
      <c r="G567">
        <v>11</v>
      </c>
      <c r="H567" s="36" t="s">
        <v>116</v>
      </c>
      <c r="I567" s="48"/>
      <c r="J567" s="48"/>
      <c r="O567"/>
    </row>
    <row r="568" spans="1:15" x14ac:dyDescent="0.25">
      <c r="A568">
        <v>367</v>
      </c>
      <c r="B568">
        <v>11313</v>
      </c>
      <c r="C568" s="2">
        <v>305721.98</v>
      </c>
      <c r="D568" s="2">
        <v>13896453.720000001</v>
      </c>
      <c r="E568" s="2">
        <v>4162190.1</v>
      </c>
      <c r="F568" s="1">
        <v>44628</v>
      </c>
      <c r="G568">
        <v>11</v>
      </c>
      <c r="H568" s="36" t="s">
        <v>64</v>
      </c>
      <c r="I568" s="48" t="s">
        <v>117</v>
      </c>
      <c r="J568" s="48" t="s">
        <v>115</v>
      </c>
      <c r="O568"/>
    </row>
    <row r="569" spans="1:15" x14ac:dyDescent="0.25">
      <c r="A569">
        <v>366</v>
      </c>
      <c r="B569">
        <v>11307</v>
      </c>
      <c r="C569" s="2">
        <v>25282.12</v>
      </c>
      <c r="D569" s="2">
        <v>587956.31999999995</v>
      </c>
      <c r="E569" s="2">
        <v>0</v>
      </c>
      <c r="F569" s="1">
        <v>44627</v>
      </c>
      <c r="G569">
        <v>11</v>
      </c>
      <c r="H569" s="36" t="s">
        <v>116</v>
      </c>
      <c r="I569" s="48"/>
      <c r="J569" s="48"/>
      <c r="O569"/>
    </row>
    <row r="570" spans="1:15" x14ac:dyDescent="0.25">
      <c r="A570">
        <v>366</v>
      </c>
      <c r="B570">
        <v>11309</v>
      </c>
      <c r="C570" s="2">
        <v>72906.58</v>
      </c>
      <c r="D570" s="2">
        <v>587956.31999999995</v>
      </c>
      <c r="E570" s="2">
        <v>0</v>
      </c>
      <c r="F570" s="1">
        <v>44627</v>
      </c>
      <c r="G570">
        <v>11</v>
      </c>
      <c r="H570" s="36" t="s">
        <v>116</v>
      </c>
      <c r="I570" s="48"/>
      <c r="J570" s="48"/>
      <c r="O570"/>
    </row>
    <row r="571" spans="1:15" x14ac:dyDescent="0.25">
      <c r="A571">
        <v>366</v>
      </c>
      <c r="B571">
        <v>11311</v>
      </c>
      <c r="C571" s="2">
        <v>120531.05</v>
      </c>
      <c r="D571" s="2">
        <v>587956.31999999995</v>
      </c>
      <c r="E571" s="2">
        <v>0</v>
      </c>
      <c r="F571" s="1">
        <v>44627</v>
      </c>
      <c r="G571">
        <v>11</v>
      </c>
      <c r="H571" s="36" t="s">
        <v>116</v>
      </c>
      <c r="I571" s="48"/>
      <c r="J571" s="48"/>
      <c r="O571"/>
    </row>
    <row r="572" spans="1:15" x14ac:dyDescent="0.25">
      <c r="A572">
        <v>263</v>
      </c>
      <c r="B572">
        <v>11306</v>
      </c>
      <c r="C572" s="2">
        <v>637179.82000000007</v>
      </c>
      <c r="D572" s="2">
        <v>6371798.1600000001</v>
      </c>
      <c r="E572" s="2">
        <v>22756.400000000001</v>
      </c>
      <c r="F572" s="1">
        <v>44624</v>
      </c>
      <c r="G572">
        <v>10</v>
      </c>
      <c r="H572" s="36" t="s">
        <v>112</v>
      </c>
      <c r="I572" s="48"/>
      <c r="J572" s="48"/>
      <c r="O572"/>
    </row>
    <row r="573" spans="1:15" x14ac:dyDescent="0.25">
      <c r="A573">
        <v>264</v>
      </c>
      <c r="B573">
        <v>11304</v>
      </c>
      <c r="C573" s="2">
        <v>907148.92999999993</v>
      </c>
      <c r="D573" s="2">
        <v>5442893.5700000003</v>
      </c>
      <c r="E573" s="2">
        <v>2732246.17</v>
      </c>
      <c r="F573" s="1">
        <v>44624</v>
      </c>
      <c r="G573">
        <v>10</v>
      </c>
      <c r="H573" s="36" t="s">
        <v>112</v>
      </c>
      <c r="I573" s="48"/>
      <c r="J573" s="48"/>
      <c r="O573"/>
    </row>
    <row r="574" spans="1:15" x14ac:dyDescent="0.25">
      <c r="A574">
        <v>264</v>
      </c>
      <c r="B574">
        <v>11305</v>
      </c>
      <c r="C574" s="2">
        <v>907148.92999999993</v>
      </c>
      <c r="D574" s="2">
        <v>5442893.5700000003</v>
      </c>
      <c r="E574" s="2">
        <v>2732246.17</v>
      </c>
      <c r="F574" s="1">
        <v>44624</v>
      </c>
      <c r="G574">
        <v>10</v>
      </c>
      <c r="H574" s="36" t="s">
        <v>112</v>
      </c>
      <c r="I574" s="48"/>
      <c r="J574" s="48"/>
      <c r="O574"/>
    </row>
    <row r="575" spans="1:15" x14ac:dyDescent="0.25">
      <c r="A575">
        <v>339</v>
      </c>
      <c r="B575">
        <v>11291</v>
      </c>
      <c r="C575" s="2">
        <v>71528.5</v>
      </c>
      <c r="D575" s="2">
        <v>71528.5</v>
      </c>
      <c r="E575" s="2">
        <v>0</v>
      </c>
      <c r="F575" s="1">
        <v>44620</v>
      </c>
      <c r="G575">
        <v>10</v>
      </c>
      <c r="H575" s="36" t="s">
        <v>56</v>
      </c>
      <c r="I575" s="48"/>
      <c r="J575" s="48"/>
      <c r="O575"/>
    </row>
    <row r="576" spans="1:15" x14ac:dyDescent="0.25">
      <c r="A576">
        <v>340</v>
      </c>
      <c r="B576">
        <v>11293</v>
      </c>
      <c r="C576" s="2">
        <v>122387.29000000001</v>
      </c>
      <c r="D576" s="2">
        <v>122387.29</v>
      </c>
      <c r="E576" s="2">
        <v>0</v>
      </c>
      <c r="F576" s="1">
        <v>44620</v>
      </c>
      <c r="G576">
        <v>10</v>
      </c>
      <c r="H576" s="36" t="s">
        <v>56</v>
      </c>
      <c r="I576" s="48"/>
      <c r="J576" s="48"/>
      <c r="O576"/>
    </row>
    <row r="577" spans="1:15" x14ac:dyDescent="0.25">
      <c r="A577">
        <v>341</v>
      </c>
      <c r="B577">
        <v>11292</v>
      </c>
      <c r="C577" s="2">
        <v>71528.5</v>
      </c>
      <c r="D577" s="2">
        <v>71528.5</v>
      </c>
      <c r="E577" s="2">
        <v>0</v>
      </c>
      <c r="F577" s="1">
        <v>44620</v>
      </c>
      <c r="G577">
        <v>10</v>
      </c>
      <c r="H577" s="36" t="s">
        <v>56</v>
      </c>
      <c r="I577" s="48"/>
      <c r="J577" s="48"/>
      <c r="O577"/>
    </row>
    <row r="578" spans="1:15" x14ac:dyDescent="0.25">
      <c r="A578">
        <v>342</v>
      </c>
      <c r="B578">
        <v>11294</v>
      </c>
      <c r="C578" s="2">
        <v>122387.29000000001</v>
      </c>
      <c r="D578" s="2">
        <v>122387.29</v>
      </c>
      <c r="E578" s="2">
        <v>0</v>
      </c>
      <c r="F578" s="1">
        <v>44620</v>
      </c>
      <c r="G578">
        <v>10</v>
      </c>
      <c r="H578" s="36" t="s">
        <v>56</v>
      </c>
      <c r="I578" s="48"/>
      <c r="J578" s="48"/>
      <c r="O578"/>
    </row>
    <row r="579" spans="1:15" x14ac:dyDescent="0.25">
      <c r="A579">
        <v>343</v>
      </c>
      <c r="B579">
        <v>11295</v>
      </c>
      <c r="C579" s="2">
        <v>71528.5</v>
      </c>
      <c r="D579" s="2">
        <v>71528.5</v>
      </c>
      <c r="E579" s="2">
        <v>0</v>
      </c>
      <c r="F579" s="1">
        <v>44620</v>
      </c>
      <c r="G579">
        <v>10</v>
      </c>
      <c r="H579" s="36" t="s">
        <v>56</v>
      </c>
      <c r="I579" s="48"/>
      <c r="J579" s="48"/>
      <c r="O579"/>
    </row>
    <row r="580" spans="1:15" x14ac:dyDescent="0.25">
      <c r="A580">
        <v>345</v>
      </c>
      <c r="B580">
        <v>11296</v>
      </c>
      <c r="C580" s="2">
        <v>122387.29000000001</v>
      </c>
      <c r="D580" s="2">
        <v>122387.29</v>
      </c>
      <c r="E580" s="2">
        <v>0</v>
      </c>
      <c r="F580" s="1">
        <v>44620</v>
      </c>
      <c r="G580">
        <v>10</v>
      </c>
      <c r="H580" s="36" t="s">
        <v>56</v>
      </c>
      <c r="I580" s="48"/>
      <c r="J580" s="48"/>
      <c r="O580"/>
    </row>
    <row r="581" spans="1:15" x14ac:dyDescent="0.25">
      <c r="A581">
        <v>346</v>
      </c>
      <c r="B581">
        <v>11297</v>
      </c>
      <c r="C581" s="2">
        <v>71528.5</v>
      </c>
      <c r="D581" s="2">
        <v>71528.5</v>
      </c>
      <c r="E581" s="2">
        <v>0</v>
      </c>
      <c r="F581" s="1">
        <v>44620</v>
      </c>
      <c r="G581">
        <v>10</v>
      </c>
      <c r="H581" s="36" t="s">
        <v>56</v>
      </c>
      <c r="I581" s="48"/>
      <c r="J581" s="48"/>
      <c r="O581"/>
    </row>
    <row r="582" spans="1:15" x14ac:dyDescent="0.25">
      <c r="A582">
        <v>352</v>
      </c>
      <c r="B582">
        <v>11298</v>
      </c>
      <c r="C582" s="2">
        <v>75657.740000000005</v>
      </c>
      <c r="D582" s="2">
        <v>75657.740000000005</v>
      </c>
      <c r="E582" s="2">
        <v>0</v>
      </c>
      <c r="F582" s="1">
        <v>44620</v>
      </c>
      <c r="G582">
        <v>10</v>
      </c>
      <c r="H582" s="36" t="s">
        <v>56</v>
      </c>
      <c r="I582" s="48"/>
      <c r="J582" s="48"/>
      <c r="O582"/>
    </row>
    <row r="583" spans="1:15" x14ac:dyDescent="0.25">
      <c r="A583">
        <v>367</v>
      </c>
      <c r="B583">
        <v>11290</v>
      </c>
      <c r="C583" s="2">
        <v>175095.32</v>
      </c>
      <c r="D583" s="2">
        <v>13896453.720000001</v>
      </c>
      <c r="E583" s="2">
        <v>4162190.1</v>
      </c>
      <c r="F583" s="1">
        <v>44617</v>
      </c>
      <c r="G583">
        <v>9</v>
      </c>
      <c r="H583" s="36" t="s">
        <v>64</v>
      </c>
      <c r="I583" s="48" t="s">
        <v>117</v>
      </c>
      <c r="J583" s="48" t="s">
        <v>115</v>
      </c>
      <c r="O583"/>
    </row>
    <row r="584" spans="1:15" x14ac:dyDescent="0.25">
      <c r="A584">
        <v>367</v>
      </c>
      <c r="B584">
        <v>11284</v>
      </c>
      <c r="C584" s="2">
        <v>230681.13</v>
      </c>
      <c r="D584" s="2">
        <v>13896453.720000001</v>
      </c>
      <c r="E584" s="2">
        <v>4162190.1</v>
      </c>
      <c r="F584" s="1">
        <v>44613</v>
      </c>
      <c r="G584">
        <v>9</v>
      </c>
      <c r="H584" s="36" t="s">
        <v>64</v>
      </c>
      <c r="I584" s="48" t="s">
        <v>117</v>
      </c>
      <c r="J584" s="48" t="s">
        <v>115</v>
      </c>
      <c r="O584"/>
    </row>
    <row r="585" spans="1:15" x14ac:dyDescent="0.25">
      <c r="A585">
        <v>263</v>
      </c>
      <c r="B585">
        <v>11283</v>
      </c>
      <c r="C585" s="2">
        <v>637179.82000000007</v>
      </c>
      <c r="D585" s="2">
        <v>6371798.1600000001</v>
      </c>
      <c r="E585" s="2">
        <v>22756.400000000001</v>
      </c>
      <c r="F585" s="1">
        <v>44609</v>
      </c>
      <c r="G585">
        <v>8</v>
      </c>
      <c r="H585" s="36" t="s">
        <v>112</v>
      </c>
      <c r="I585" s="48"/>
      <c r="J585" s="48"/>
      <c r="O585"/>
    </row>
    <row r="586" spans="1:15" x14ac:dyDescent="0.25">
      <c r="A586">
        <v>367</v>
      </c>
      <c r="B586">
        <v>11282</v>
      </c>
      <c r="C586" s="2">
        <v>175095.32</v>
      </c>
      <c r="D586" s="2">
        <v>13896453.720000001</v>
      </c>
      <c r="E586" s="2">
        <v>4162190.1</v>
      </c>
      <c r="F586" s="1">
        <v>44608</v>
      </c>
      <c r="G586">
        <v>8</v>
      </c>
      <c r="H586" s="36" t="s">
        <v>64</v>
      </c>
      <c r="I586" s="48" t="s">
        <v>117</v>
      </c>
      <c r="J586" s="48" t="s">
        <v>115</v>
      </c>
      <c r="O586"/>
    </row>
    <row r="587" spans="1:15" x14ac:dyDescent="0.25">
      <c r="A587">
        <v>264</v>
      </c>
      <c r="B587">
        <v>11280</v>
      </c>
      <c r="C587" s="2">
        <v>-1814297.8599999999</v>
      </c>
      <c r="D587" s="2">
        <v>5442893.5700000003</v>
      </c>
      <c r="E587" s="2">
        <v>2732246.17</v>
      </c>
      <c r="F587" s="1">
        <v>44606</v>
      </c>
      <c r="G587">
        <v>8</v>
      </c>
      <c r="H587" s="36" t="s">
        <v>112</v>
      </c>
      <c r="I587" s="48"/>
      <c r="J587" s="48"/>
      <c r="O587"/>
    </row>
    <row r="588" spans="1:15" x14ac:dyDescent="0.25">
      <c r="A588">
        <v>264</v>
      </c>
      <c r="B588">
        <v>11269</v>
      </c>
      <c r="C588" s="2">
        <v>1814297.8599999999</v>
      </c>
      <c r="D588" s="2">
        <v>5442893.5700000003</v>
      </c>
      <c r="E588" s="2">
        <v>2732246.17</v>
      </c>
      <c r="F588" s="1">
        <v>44603</v>
      </c>
      <c r="G588">
        <v>7</v>
      </c>
      <c r="H588" s="36" t="s">
        <v>112</v>
      </c>
      <c r="I588" s="48"/>
      <c r="J588" s="48"/>
      <c r="O588"/>
    </row>
    <row r="589" spans="1:15" x14ac:dyDescent="0.25">
      <c r="A589">
        <v>263</v>
      </c>
      <c r="B589">
        <v>11266</v>
      </c>
      <c r="C589" s="2">
        <v>637179.82000000007</v>
      </c>
      <c r="D589" s="2">
        <v>6371798.1600000001</v>
      </c>
      <c r="E589" s="2">
        <v>22756.400000000001</v>
      </c>
      <c r="F589" s="1">
        <v>44602</v>
      </c>
      <c r="G589">
        <v>7</v>
      </c>
      <c r="H589" s="36" t="s">
        <v>112</v>
      </c>
      <c r="I589" s="48"/>
      <c r="J589" s="48"/>
      <c r="O589"/>
    </row>
    <row r="590" spans="1:15" x14ac:dyDescent="0.25">
      <c r="A590">
        <v>349</v>
      </c>
      <c r="B590">
        <v>11261</v>
      </c>
      <c r="C590" s="2">
        <v>75657.740000000005</v>
      </c>
      <c r="D590" s="2">
        <v>75657.740000000005</v>
      </c>
      <c r="E590" s="2">
        <v>0</v>
      </c>
      <c r="F590" s="1">
        <v>44599</v>
      </c>
      <c r="G590">
        <v>7</v>
      </c>
      <c r="H590" s="36" t="s">
        <v>56</v>
      </c>
      <c r="I590" s="48"/>
      <c r="J590" s="48"/>
      <c r="O590"/>
    </row>
    <row r="591" spans="1:15" x14ac:dyDescent="0.25">
      <c r="A591">
        <v>351</v>
      </c>
      <c r="B591">
        <v>11261</v>
      </c>
      <c r="C591" s="2">
        <v>75657.740000000005</v>
      </c>
      <c r="D591" s="2">
        <v>75657.740000000005</v>
      </c>
      <c r="E591" s="2">
        <v>0</v>
      </c>
      <c r="F591" s="1">
        <v>44599</v>
      </c>
      <c r="G591">
        <v>7</v>
      </c>
      <c r="H591" s="36" t="s">
        <v>56</v>
      </c>
      <c r="I591" s="48"/>
      <c r="J591" s="48"/>
      <c r="O591"/>
    </row>
    <row r="592" spans="1:15" x14ac:dyDescent="0.25">
      <c r="A592">
        <v>263</v>
      </c>
      <c r="B592">
        <v>11249</v>
      </c>
      <c r="C592" s="2">
        <v>637179.82000000007</v>
      </c>
      <c r="D592" s="2">
        <v>6371798.1600000001</v>
      </c>
      <c r="E592" s="2">
        <v>22756.400000000001</v>
      </c>
      <c r="F592" s="1">
        <v>44592</v>
      </c>
      <c r="G592">
        <v>6</v>
      </c>
      <c r="H592" s="36" t="s">
        <v>112</v>
      </c>
      <c r="I592" s="48"/>
      <c r="J592" s="48"/>
      <c r="O592"/>
    </row>
    <row r="593" spans="1:15" x14ac:dyDescent="0.25">
      <c r="A593">
        <v>264</v>
      </c>
      <c r="B593">
        <v>11248</v>
      </c>
      <c r="C593" s="2">
        <v>-907148.92999999993</v>
      </c>
      <c r="D593" s="2">
        <v>5442893.5700000003</v>
      </c>
      <c r="E593" s="2">
        <v>2732246.17</v>
      </c>
      <c r="F593" s="1">
        <v>44592</v>
      </c>
      <c r="G593">
        <v>6</v>
      </c>
      <c r="H593" s="36" t="s">
        <v>112</v>
      </c>
      <c r="I593" s="48"/>
      <c r="J593" s="48"/>
      <c r="O593"/>
    </row>
    <row r="594" spans="1:15" x14ac:dyDescent="0.25">
      <c r="A594">
        <v>344</v>
      </c>
      <c r="B594">
        <v>11253</v>
      </c>
      <c r="C594" s="2">
        <v>71528.5</v>
      </c>
      <c r="D594" s="2">
        <v>71528.5</v>
      </c>
      <c r="E594" s="2">
        <v>0</v>
      </c>
      <c r="F594" s="1">
        <v>44592</v>
      </c>
      <c r="G594">
        <v>6</v>
      </c>
      <c r="H594" s="36" t="s">
        <v>56</v>
      </c>
      <c r="I594" s="48"/>
      <c r="J594" s="48"/>
      <c r="O594"/>
    </row>
    <row r="595" spans="1:15" x14ac:dyDescent="0.25">
      <c r="A595">
        <v>350</v>
      </c>
      <c r="B595">
        <v>11254</v>
      </c>
      <c r="C595" s="2">
        <v>247021.59</v>
      </c>
      <c r="D595" s="2">
        <v>247021.59</v>
      </c>
      <c r="E595" s="2">
        <v>0</v>
      </c>
      <c r="F595" s="1">
        <v>44592</v>
      </c>
      <c r="G595">
        <v>6</v>
      </c>
      <c r="H595" s="36" t="s">
        <v>56</v>
      </c>
      <c r="I595" s="48"/>
      <c r="J595" s="48"/>
      <c r="O595"/>
    </row>
    <row r="596" spans="1:15" x14ac:dyDescent="0.25">
      <c r="A596">
        <v>516</v>
      </c>
      <c r="B596">
        <v>11251</v>
      </c>
      <c r="C596" s="2">
        <v>8271.8700000000008</v>
      </c>
      <c r="D596" s="2">
        <v>8271.8700000000008</v>
      </c>
      <c r="E596" s="2">
        <v>0</v>
      </c>
      <c r="F596" s="1">
        <v>44592</v>
      </c>
      <c r="G596">
        <v>6</v>
      </c>
      <c r="H596" s="36" t="s">
        <v>54</v>
      </c>
      <c r="I596" s="48"/>
      <c r="J596" s="48"/>
      <c r="O596"/>
    </row>
    <row r="597" spans="1:15" x14ac:dyDescent="0.25">
      <c r="A597">
        <v>263</v>
      </c>
      <c r="B597">
        <v>11247</v>
      </c>
      <c r="C597" s="2">
        <v>637179.82000000007</v>
      </c>
      <c r="D597" s="2">
        <v>6371798.1600000001</v>
      </c>
      <c r="E597" s="2">
        <v>22756.400000000001</v>
      </c>
      <c r="F597" s="1">
        <v>44590</v>
      </c>
      <c r="G597">
        <v>5</v>
      </c>
      <c r="H597" s="36" t="s">
        <v>112</v>
      </c>
      <c r="I597" s="48"/>
      <c r="J597" s="48"/>
      <c r="O597"/>
    </row>
    <row r="598" spans="1:15" x14ac:dyDescent="0.25">
      <c r="A598">
        <v>263</v>
      </c>
      <c r="B598">
        <v>11245</v>
      </c>
      <c r="C598" s="2">
        <v>637179.82000000007</v>
      </c>
      <c r="D598" s="2">
        <v>6371798.1600000001</v>
      </c>
      <c r="E598" s="2">
        <v>22756.400000000001</v>
      </c>
      <c r="F598" s="1">
        <v>44587</v>
      </c>
      <c r="G598">
        <v>5</v>
      </c>
      <c r="H598" s="36" t="s">
        <v>112</v>
      </c>
      <c r="I598" s="48"/>
      <c r="J598" s="48"/>
      <c r="O598"/>
    </row>
    <row r="599" spans="1:15" x14ac:dyDescent="0.25">
      <c r="A599">
        <v>367</v>
      </c>
      <c r="B599">
        <v>11243</v>
      </c>
      <c r="C599" s="2">
        <v>305721.98</v>
      </c>
      <c r="D599" s="2">
        <v>13896453.720000001</v>
      </c>
      <c r="E599" s="2">
        <v>4162190.1</v>
      </c>
      <c r="F599" s="1">
        <v>44585</v>
      </c>
      <c r="G599">
        <v>5</v>
      </c>
      <c r="H599" s="36" t="s">
        <v>64</v>
      </c>
      <c r="I599" s="48" t="s">
        <v>117</v>
      </c>
      <c r="J599" s="48" t="s">
        <v>115</v>
      </c>
      <c r="O599"/>
    </row>
    <row r="600" spans="1:15" x14ac:dyDescent="0.25">
      <c r="A600">
        <v>264</v>
      </c>
      <c r="B600">
        <v>11233</v>
      </c>
      <c r="C600" s="2">
        <v>907148.92999999993</v>
      </c>
      <c r="D600" s="2">
        <v>5442893.5700000003</v>
      </c>
      <c r="E600" s="2">
        <v>2732246.17</v>
      </c>
      <c r="F600" s="1">
        <v>44579</v>
      </c>
      <c r="G600">
        <v>4</v>
      </c>
      <c r="H600" s="36" t="s">
        <v>112</v>
      </c>
      <c r="I600" s="48"/>
      <c r="J600" s="48"/>
      <c r="O600"/>
    </row>
    <row r="601" spans="1:15" x14ac:dyDescent="0.25">
      <c r="A601">
        <v>1</v>
      </c>
      <c r="D601" s="2"/>
      <c r="F601" s="1"/>
      <c r="G601"/>
      <c r="H601" s="36"/>
      <c r="I601" s="48"/>
      <c r="J601" s="48"/>
      <c r="O601"/>
    </row>
    <row r="602" spans="1:15" x14ac:dyDescent="0.25">
      <c r="A602">
        <v>10</v>
      </c>
      <c r="D602" s="2">
        <v>83488.41</v>
      </c>
      <c r="E602" s="2">
        <v>83488.41</v>
      </c>
      <c r="F602" s="1"/>
      <c r="G602"/>
      <c r="H602" s="36" t="s">
        <v>54</v>
      </c>
      <c r="I602" s="48"/>
      <c r="J602" s="48"/>
      <c r="O602"/>
    </row>
    <row r="603" spans="1:15" x14ac:dyDescent="0.25">
      <c r="A603">
        <v>100</v>
      </c>
      <c r="D603" s="2">
        <v>30139.200000000001</v>
      </c>
      <c r="E603" s="2">
        <v>30139.200000000001</v>
      </c>
      <c r="F603" s="1"/>
      <c r="G603"/>
      <c r="H603" s="36" t="s">
        <v>68</v>
      </c>
      <c r="I603" s="48"/>
      <c r="J603" s="48"/>
      <c r="O603"/>
    </row>
    <row r="604" spans="1:15" x14ac:dyDescent="0.25">
      <c r="A604">
        <v>1000</v>
      </c>
      <c r="D604" s="2">
        <v>48573.95</v>
      </c>
      <c r="E604" s="2">
        <v>48573.95</v>
      </c>
      <c r="F604" s="1"/>
      <c r="G604"/>
      <c r="H604" s="36" t="s">
        <v>54</v>
      </c>
      <c r="I604" s="48"/>
      <c r="J604" s="48"/>
      <c r="O604"/>
    </row>
    <row r="605" spans="1:15" x14ac:dyDescent="0.25">
      <c r="A605">
        <v>1001</v>
      </c>
      <c r="D605" s="2">
        <v>48573.95</v>
      </c>
      <c r="E605" s="2">
        <v>48573.95</v>
      </c>
      <c r="F605" s="1"/>
      <c r="G605"/>
      <c r="H605" s="36" t="s">
        <v>54</v>
      </c>
      <c r="I605" s="48"/>
      <c r="J605" s="48"/>
      <c r="O605"/>
    </row>
    <row r="606" spans="1:15" x14ac:dyDescent="0.25">
      <c r="A606">
        <v>1002</v>
      </c>
      <c r="D606" s="2">
        <v>48573.95</v>
      </c>
      <c r="E606" s="2">
        <v>48573.95</v>
      </c>
      <c r="F606" s="1"/>
      <c r="G606"/>
      <c r="H606" s="36" t="s">
        <v>54</v>
      </c>
      <c r="I606" s="48"/>
      <c r="J606" s="48"/>
      <c r="O606"/>
    </row>
    <row r="607" spans="1:15" x14ac:dyDescent="0.25">
      <c r="A607">
        <v>1003</v>
      </c>
      <c r="D607" s="2">
        <v>48573.95</v>
      </c>
      <c r="E607" s="2">
        <v>48573.95</v>
      </c>
      <c r="F607" s="1"/>
      <c r="G607"/>
      <c r="H607" s="36" t="s">
        <v>54</v>
      </c>
      <c r="I607" s="48"/>
      <c r="J607" s="48"/>
      <c r="O607"/>
    </row>
    <row r="608" spans="1:15" x14ac:dyDescent="0.25">
      <c r="A608">
        <v>1004</v>
      </c>
      <c r="D608" s="2">
        <v>48573.95</v>
      </c>
      <c r="E608" s="2">
        <v>48573.95</v>
      </c>
      <c r="F608" s="1"/>
      <c r="G608"/>
      <c r="H608" s="36" t="s">
        <v>54</v>
      </c>
      <c r="I608" s="48"/>
      <c r="J608" s="48"/>
      <c r="O608"/>
    </row>
    <row r="609" spans="1:15" x14ac:dyDescent="0.25">
      <c r="A609">
        <v>1005</v>
      </c>
      <c r="D609" s="2">
        <v>48573.95</v>
      </c>
      <c r="E609" s="2">
        <v>48573.95</v>
      </c>
      <c r="F609" s="1"/>
      <c r="G609"/>
      <c r="H609" s="36" t="s">
        <v>54</v>
      </c>
      <c r="I609" s="48"/>
      <c r="J609" s="48"/>
      <c r="O609"/>
    </row>
    <row r="610" spans="1:15" x14ac:dyDescent="0.25">
      <c r="A610">
        <v>1006</v>
      </c>
      <c r="D610" s="2">
        <v>48573.95</v>
      </c>
      <c r="E610" s="2">
        <v>48573.95</v>
      </c>
      <c r="F610" s="1"/>
      <c r="G610"/>
      <c r="H610" s="36" t="s">
        <v>54</v>
      </c>
      <c r="I610" s="48"/>
      <c r="J610" s="48"/>
      <c r="O610"/>
    </row>
    <row r="611" spans="1:15" x14ac:dyDescent="0.25">
      <c r="A611">
        <v>1007</v>
      </c>
      <c r="D611" s="2">
        <v>48573.95</v>
      </c>
      <c r="E611" s="2">
        <v>48573.95</v>
      </c>
      <c r="F611" s="1"/>
      <c r="G611"/>
      <c r="H611" s="36" t="s">
        <v>54</v>
      </c>
      <c r="I611" s="48"/>
      <c r="J611" s="48"/>
      <c r="O611"/>
    </row>
    <row r="612" spans="1:15" x14ac:dyDescent="0.25">
      <c r="A612">
        <v>1008</v>
      </c>
      <c r="D612" s="2">
        <v>48573.95</v>
      </c>
      <c r="E612" s="2">
        <v>48573.95</v>
      </c>
      <c r="F612" s="1"/>
      <c r="G612"/>
      <c r="H612" s="36" t="s">
        <v>54</v>
      </c>
      <c r="I612" s="48"/>
      <c r="J612" s="48"/>
      <c r="O612"/>
    </row>
    <row r="613" spans="1:15" x14ac:dyDescent="0.25">
      <c r="A613">
        <v>1009</v>
      </c>
      <c r="D613" s="2">
        <v>87853.5</v>
      </c>
      <c r="E613" s="2">
        <v>87853.5</v>
      </c>
      <c r="F613" s="1"/>
      <c r="G613"/>
      <c r="H613" s="36" t="s">
        <v>56</v>
      </c>
      <c r="I613" s="48"/>
      <c r="J613" s="48"/>
      <c r="O613"/>
    </row>
    <row r="614" spans="1:15" x14ac:dyDescent="0.25">
      <c r="A614">
        <v>101</v>
      </c>
      <c r="D614" s="2">
        <v>40185.599999999999</v>
      </c>
      <c r="E614" s="2">
        <v>40185.599999999999</v>
      </c>
      <c r="F614" s="1"/>
      <c r="G614"/>
      <c r="H614" s="36" t="s">
        <v>68</v>
      </c>
      <c r="I614" s="48"/>
      <c r="J614" s="48"/>
      <c r="O614"/>
    </row>
    <row r="615" spans="1:15" x14ac:dyDescent="0.25">
      <c r="A615">
        <v>1010</v>
      </c>
      <c r="D615" s="2">
        <v>149238.48000000001</v>
      </c>
      <c r="E615" s="2">
        <v>149238.48000000001</v>
      </c>
      <c r="F615" s="1"/>
      <c r="G615"/>
      <c r="H615" s="36" t="s">
        <v>56</v>
      </c>
      <c r="I615" s="48"/>
      <c r="J615" s="48"/>
      <c r="O615"/>
    </row>
    <row r="616" spans="1:15" x14ac:dyDescent="0.25">
      <c r="A616">
        <v>1011</v>
      </c>
      <c r="D616" s="2">
        <v>87853.5</v>
      </c>
      <c r="E616" s="2">
        <v>87853.5</v>
      </c>
      <c r="F616" s="1"/>
      <c r="G616"/>
      <c r="H616" s="36" t="s">
        <v>56</v>
      </c>
      <c r="I616" s="48"/>
      <c r="J616" s="48"/>
      <c r="O616"/>
    </row>
    <row r="617" spans="1:15" x14ac:dyDescent="0.25">
      <c r="A617">
        <v>1012</v>
      </c>
      <c r="D617" s="2">
        <v>149238.48000000001</v>
      </c>
      <c r="E617" s="2">
        <v>149238.48000000001</v>
      </c>
      <c r="F617" s="1"/>
      <c r="G617"/>
      <c r="H617" s="36" t="s">
        <v>56</v>
      </c>
      <c r="I617" s="48"/>
      <c r="J617" s="48"/>
      <c r="O617"/>
    </row>
    <row r="618" spans="1:15" x14ac:dyDescent="0.25">
      <c r="A618">
        <v>1013</v>
      </c>
      <c r="D618" s="2">
        <v>87853.5</v>
      </c>
      <c r="E618" s="2">
        <v>87853.5</v>
      </c>
      <c r="F618" s="1"/>
      <c r="G618"/>
      <c r="H618" s="36" t="s">
        <v>56</v>
      </c>
      <c r="I618" s="48"/>
      <c r="J618" s="48"/>
      <c r="O618"/>
    </row>
    <row r="619" spans="1:15" x14ac:dyDescent="0.25">
      <c r="A619">
        <v>1014</v>
      </c>
      <c r="D619" s="2">
        <v>149238.48000000001</v>
      </c>
      <c r="E619" s="2">
        <v>149238.48000000001</v>
      </c>
      <c r="F619" s="1"/>
      <c r="G619"/>
      <c r="H619" s="36" t="s">
        <v>56</v>
      </c>
      <c r="I619" s="48"/>
      <c r="J619" s="48"/>
      <c r="O619"/>
    </row>
    <row r="620" spans="1:15" x14ac:dyDescent="0.25">
      <c r="A620">
        <v>1015</v>
      </c>
      <c r="D620" s="2">
        <v>87853.5</v>
      </c>
      <c r="E620" s="2">
        <v>87853.5</v>
      </c>
      <c r="F620" s="1"/>
      <c r="G620"/>
      <c r="H620" s="36" t="s">
        <v>56</v>
      </c>
      <c r="I620" s="48"/>
      <c r="J620" s="48"/>
      <c r="O620"/>
    </row>
    <row r="621" spans="1:15" x14ac:dyDescent="0.25">
      <c r="A621">
        <v>1016</v>
      </c>
      <c r="D621" s="2">
        <v>87853.5</v>
      </c>
      <c r="E621" s="2">
        <v>87853.5</v>
      </c>
      <c r="F621" s="1"/>
      <c r="G621"/>
      <c r="H621" s="36" t="s">
        <v>56</v>
      </c>
      <c r="I621" s="48"/>
      <c r="J621" s="48"/>
      <c r="O621"/>
    </row>
    <row r="622" spans="1:15" x14ac:dyDescent="0.25">
      <c r="A622">
        <v>1018</v>
      </c>
      <c r="D622" s="2">
        <v>149238.48000000001</v>
      </c>
      <c r="E622" s="2">
        <v>149238.48000000001</v>
      </c>
      <c r="F622" s="1"/>
      <c r="G622"/>
      <c r="H622" s="36" t="s">
        <v>56</v>
      </c>
      <c r="I622" s="48"/>
      <c r="J622" s="48"/>
      <c r="O622"/>
    </row>
    <row r="623" spans="1:15" x14ac:dyDescent="0.25">
      <c r="A623">
        <v>1019</v>
      </c>
      <c r="D623" s="2">
        <v>87853.51</v>
      </c>
      <c r="E623" s="2">
        <v>87853.51</v>
      </c>
      <c r="F623" s="1"/>
      <c r="G623"/>
      <c r="H623" s="36" t="s">
        <v>56</v>
      </c>
      <c r="I623" s="48"/>
      <c r="J623" s="48"/>
      <c r="O623"/>
    </row>
    <row r="624" spans="1:15" x14ac:dyDescent="0.25">
      <c r="A624">
        <v>1020</v>
      </c>
      <c r="D624" s="2">
        <v>87853.51</v>
      </c>
      <c r="E624" s="2">
        <v>87853.51</v>
      </c>
      <c r="F624" s="1"/>
      <c r="G624"/>
      <c r="H624" s="36" t="s">
        <v>56</v>
      </c>
      <c r="I624" s="48"/>
      <c r="J624" s="48"/>
      <c r="O624"/>
    </row>
    <row r="625" spans="1:15" x14ac:dyDescent="0.25">
      <c r="A625">
        <v>1021</v>
      </c>
      <c r="D625" s="2">
        <v>22963.599999999999</v>
      </c>
      <c r="E625" s="2">
        <v>22963.599999999999</v>
      </c>
      <c r="F625" s="1"/>
      <c r="G625"/>
      <c r="H625" s="36" t="s">
        <v>56</v>
      </c>
      <c r="I625" s="48"/>
      <c r="J625" s="48"/>
      <c r="O625"/>
    </row>
    <row r="626" spans="1:15" x14ac:dyDescent="0.25">
      <c r="A626">
        <v>1022</v>
      </c>
      <c r="D626" s="2">
        <v>22963.599999999999</v>
      </c>
      <c r="E626" s="2">
        <v>22963.599999999999</v>
      </c>
      <c r="F626" s="1"/>
      <c r="G626"/>
      <c r="H626" s="36" t="s">
        <v>56</v>
      </c>
      <c r="I626" s="48"/>
      <c r="J626" s="48"/>
      <c r="O626"/>
    </row>
    <row r="627" spans="1:15" x14ac:dyDescent="0.25">
      <c r="A627">
        <v>1023</v>
      </c>
      <c r="D627" s="2">
        <v>28570.79</v>
      </c>
      <c r="E627" s="2">
        <v>28570.79</v>
      </c>
      <c r="F627" s="1"/>
      <c r="G627"/>
      <c r="H627" s="36" t="s">
        <v>56</v>
      </c>
      <c r="I627" s="48"/>
      <c r="J627" s="48"/>
      <c r="O627"/>
    </row>
    <row r="628" spans="1:15" x14ac:dyDescent="0.25">
      <c r="A628">
        <v>1024</v>
      </c>
      <c r="D628" s="2">
        <v>529504.5</v>
      </c>
      <c r="E628" s="2">
        <v>529504.5</v>
      </c>
      <c r="F628" s="1"/>
      <c r="G628"/>
      <c r="H628" s="36" t="s">
        <v>56</v>
      </c>
      <c r="I628" s="48"/>
      <c r="J628" s="48"/>
      <c r="O628"/>
    </row>
    <row r="629" spans="1:15" x14ac:dyDescent="0.25">
      <c r="A629">
        <v>1025</v>
      </c>
      <c r="D629" s="2">
        <v>529504.5</v>
      </c>
      <c r="E629" s="2">
        <v>529504.5</v>
      </c>
      <c r="F629" s="1"/>
      <c r="G629"/>
      <c r="H629" s="36" t="s">
        <v>56</v>
      </c>
      <c r="I629" s="48"/>
      <c r="J629" s="48"/>
      <c r="O629"/>
    </row>
    <row r="630" spans="1:15" x14ac:dyDescent="0.25">
      <c r="A630">
        <v>1026</v>
      </c>
      <c r="D630" s="2">
        <v>529504.5</v>
      </c>
      <c r="E630" s="2">
        <v>529504.5</v>
      </c>
      <c r="F630" s="1"/>
      <c r="G630"/>
      <c r="H630" s="36" t="s">
        <v>56</v>
      </c>
      <c r="I630" s="48"/>
      <c r="J630" s="48"/>
      <c r="O630"/>
    </row>
    <row r="631" spans="1:15" x14ac:dyDescent="0.25">
      <c r="A631">
        <v>1027</v>
      </c>
      <c r="D631" s="2">
        <v>529504.5</v>
      </c>
      <c r="E631" s="2">
        <v>529504.5</v>
      </c>
      <c r="F631" s="1"/>
      <c r="G631"/>
      <c r="H631" s="36" t="s">
        <v>56</v>
      </c>
      <c r="I631" s="48"/>
      <c r="J631" s="48"/>
      <c r="O631"/>
    </row>
    <row r="632" spans="1:15" x14ac:dyDescent="0.25">
      <c r="A632">
        <v>1032</v>
      </c>
      <c r="D632" s="2">
        <v>87853.51</v>
      </c>
      <c r="E632" s="2">
        <v>87853.51</v>
      </c>
      <c r="F632" s="1"/>
      <c r="G632"/>
      <c r="H632" s="36" t="s">
        <v>56</v>
      </c>
      <c r="I632" s="48"/>
      <c r="J632" s="48"/>
      <c r="O632"/>
    </row>
    <row r="633" spans="1:15" x14ac:dyDescent="0.25">
      <c r="A633">
        <v>1033</v>
      </c>
      <c r="D633" s="2">
        <v>87853.51</v>
      </c>
      <c r="E633" s="2">
        <v>87853.51</v>
      </c>
      <c r="F633" s="1"/>
      <c r="G633"/>
      <c r="H633" s="36" t="s">
        <v>56</v>
      </c>
      <c r="I633" s="48"/>
      <c r="J633" s="48"/>
      <c r="O633"/>
    </row>
    <row r="634" spans="1:15" x14ac:dyDescent="0.25">
      <c r="A634">
        <v>1034</v>
      </c>
      <c r="D634" s="2">
        <v>149238.48000000001</v>
      </c>
      <c r="E634" s="2">
        <v>149238.48000000001</v>
      </c>
      <c r="F634" s="1"/>
      <c r="G634"/>
      <c r="H634" s="36" t="s">
        <v>56</v>
      </c>
      <c r="I634" s="48"/>
      <c r="J634" s="48"/>
      <c r="O634"/>
    </row>
    <row r="635" spans="1:15" x14ac:dyDescent="0.25">
      <c r="A635">
        <v>1035</v>
      </c>
      <c r="D635" s="2">
        <v>175707.02</v>
      </c>
      <c r="E635" s="2">
        <v>175707.02</v>
      </c>
      <c r="F635" s="1"/>
      <c r="G635"/>
      <c r="H635" s="36" t="s">
        <v>56</v>
      </c>
      <c r="I635" s="48"/>
      <c r="J635" s="48"/>
      <c r="O635"/>
    </row>
    <row r="636" spans="1:15" x14ac:dyDescent="0.25">
      <c r="A636">
        <v>1036</v>
      </c>
      <c r="D636" s="2">
        <v>298476.96999999997</v>
      </c>
      <c r="E636" s="2">
        <v>298476.96999999997</v>
      </c>
      <c r="F636" s="1"/>
      <c r="G636"/>
      <c r="H636" s="36" t="s">
        <v>56</v>
      </c>
      <c r="I636" s="48"/>
      <c r="J636" s="48"/>
      <c r="O636"/>
    </row>
    <row r="637" spans="1:15" x14ac:dyDescent="0.25">
      <c r="A637">
        <v>1037</v>
      </c>
      <c r="D637" s="2">
        <v>87853.51</v>
      </c>
      <c r="E637" s="2">
        <v>87853.51</v>
      </c>
      <c r="F637" s="1"/>
      <c r="G637"/>
      <c r="H637" s="36" t="s">
        <v>56</v>
      </c>
      <c r="I637" s="48"/>
      <c r="J637" s="48"/>
      <c r="O637"/>
    </row>
    <row r="638" spans="1:15" x14ac:dyDescent="0.25">
      <c r="A638">
        <v>1038</v>
      </c>
      <c r="D638" s="2">
        <v>149238.48000000001</v>
      </c>
      <c r="E638" s="2">
        <v>149238.48000000001</v>
      </c>
      <c r="F638" s="1"/>
      <c r="G638"/>
      <c r="H638" s="36" t="s">
        <v>56</v>
      </c>
      <c r="I638" s="48"/>
      <c r="J638" s="48"/>
      <c r="O638"/>
    </row>
    <row r="639" spans="1:15" x14ac:dyDescent="0.25">
      <c r="A639">
        <v>1039</v>
      </c>
      <c r="D639" s="2">
        <v>87853.51</v>
      </c>
      <c r="E639" s="2">
        <v>87853.51</v>
      </c>
      <c r="F639" s="1"/>
      <c r="G639"/>
      <c r="H639" s="36" t="s">
        <v>56</v>
      </c>
      <c r="I639" s="48"/>
      <c r="J639" s="48"/>
      <c r="O639"/>
    </row>
    <row r="640" spans="1:15" x14ac:dyDescent="0.25">
      <c r="A640">
        <v>1040</v>
      </c>
      <c r="D640" s="2">
        <v>149238.48000000001</v>
      </c>
      <c r="E640" s="2">
        <v>149238.48000000001</v>
      </c>
      <c r="F640" s="1"/>
      <c r="G640"/>
      <c r="H640" s="36" t="s">
        <v>56</v>
      </c>
      <c r="I640" s="48"/>
      <c r="J640" s="48"/>
      <c r="O640"/>
    </row>
    <row r="641" spans="1:15" x14ac:dyDescent="0.25">
      <c r="A641">
        <v>1041</v>
      </c>
      <c r="D641" s="2">
        <v>87853.51</v>
      </c>
      <c r="E641" s="2">
        <v>87853.51</v>
      </c>
      <c r="F641" s="1"/>
      <c r="G641"/>
      <c r="H641" s="36" t="s">
        <v>56</v>
      </c>
      <c r="I641" s="48"/>
      <c r="J641" s="48"/>
      <c r="O641"/>
    </row>
    <row r="642" spans="1:15" x14ac:dyDescent="0.25">
      <c r="A642">
        <v>1042</v>
      </c>
      <c r="D642" s="2">
        <v>149238.48000000001</v>
      </c>
      <c r="E642" s="2">
        <v>149238.48000000001</v>
      </c>
      <c r="F642" s="1"/>
      <c r="G642"/>
      <c r="H642" s="36" t="s">
        <v>56</v>
      </c>
      <c r="I642" s="48"/>
      <c r="J642" s="48"/>
      <c r="O642"/>
    </row>
    <row r="643" spans="1:15" x14ac:dyDescent="0.25">
      <c r="A643">
        <v>1043</v>
      </c>
      <c r="D643" s="2">
        <v>87853.51</v>
      </c>
      <c r="E643" s="2">
        <v>87853.51</v>
      </c>
      <c r="F643" s="1"/>
      <c r="G643"/>
      <c r="H643" s="36" t="s">
        <v>56</v>
      </c>
      <c r="I643" s="48"/>
      <c r="J643" s="48"/>
      <c r="O643"/>
    </row>
    <row r="644" spans="1:15" x14ac:dyDescent="0.25">
      <c r="A644">
        <v>1044</v>
      </c>
      <c r="D644" s="2">
        <v>149238.48000000001</v>
      </c>
      <c r="E644" s="2">
        <v>149238.48000000001</v>
      </c>
      <c r="F644" s="1"/>
      <c r="G644"/>
      <c r="H644" s="36" t="s">
        <v>56</v>
      </c>
      <c r="I644" s="48"/>
      <c r="J644" s="48"/>
      <c r="O644"/>
    </row>
    <row r="645" spans="1:15" x14ac:dyDescent="0.25">
      <c r="A645">
        <v>1045</v>
      </c>
      <c r="D645" s="2">
        <v>119142.53</v>
      </c>
      <c r="E645" s="2">
        <v>119142.53</v>
      </c>
      <c r="F645" s="1"/>
      <c r="G645"/>
      <c r="H645" s="36" t="s">
        <v>56</v>
      </c>
      <c r="I645" s="48"/>
      <c r="J645" s="48"/>
      <c r="O645"/>
    </row>
    <row r="646" spans="1:15" x14ac:dyDescent="0.25">
      <c r="A646">
        <v>1046</v>
      </c>
      <c r="D646" s="2">
        <v>370854.83</v>
      </c>
      <c r="E646" s="2">
        <v>370854.83</v>
      </c>
      <c r="F646" s="1"/>
      <c r="G646"/>
      <c r="H646" s="36" t="s">
        <v>56</v>
      </c>
      <c r="I646" s="48"/>
      <c r="J646" s="48"/>
      <c r="O646"/>
    </row>
    <row r="647" spans="1:15" x14ac:dyDescent="0.25">
      <c r="A647">
        <v>1047</v>
      </c>
      <c r="D647" s="2">
        <v>106250.68</v>
      </c>
      <c r="E647" s="2">
        <v>106250.68</v>
      </c>
      <c r="F647" s="1"/>
      <c r="G647"/>
      <c r="H647" s="36" t="s">
        <v>54</v>
      </c>
      <c r="I647" s="48"/>
      <c r="J647" s="48"/>
      <c r="O647"/>
    </row>
    <row r="648" spans="1:15" x14ac:dyDescent="0.25">
      <c r="A648">
        <v>1048</v>
      </c>
      <c r="D648" s="2">
        <v>49600.61</v>
      </c>
      <c r="E648" s="2">
        <v>49600.61</v>
      </c>
      <c r="F648" s="1"/>
      <c r="G648"/>
      <c r="H648" s="36" t="s">
        <v>54</v>
      </c>
      <c r="I648" s="48"/>
      <c r="J648" s="48"/>
      <c r="O648"/>
    </row>
    <row r="649" spans="1:15" x14ac:dyDescent="0.25">
      <c r="A649">
        <v>1049</v>
      </c>
      <c r="D649" s="2">
        <v>49600.61</v>
      </c>
      <c r="E649" s="2">
        <v>49600.61</v>
      </c>
      <c r="F649" s="1"/>
      <c r="G649"/>
      <c r="H649" s="36" t="s">
        <v>54</v>
      </c>
      <c r="I649" s="48"/>
      <c r="J649" s="48"/>
      <c r="O649"/>
    </row>
    <row r="650" spans="1:15" x14ac:dyDescent="0.25">
      <c r="A650">
        <v>1050</v>
      </c>
      <c r="D650" s="2">
        <v>49600.61</v>
      </c>
      <c r="E650" s="2">
        <v>49600.61</v>
      </c>
      <c r="F650" s="1"/>
      <c r="G650"/>
      <c r="H650" s="36" t="s">
        <v>54</v>
      </c>
      <c r="I650" s="48"/>
      <c r="J650" s="48"/>
      <c r="O650"/>
    </row>
    <row r="651" spans="1:15" x14ac:dyDescent="0.25">
      <c r="A651">
        <v>1051</v>
      </c>
      <c r="D651" s="2">
        <v>48625.72</v>
      </c>
      <c r="E651" s="2">
        <v>48625.72</v>
      </c>
      <c r="F651" s="1"/>
      <c r="G651"/>
      <c r="H651" s="36" t="s">
        <v>54</v>
      </c>
      <c r="I651" s="48"/>
      <c r="J651" s="48"/>
      <c r="O651"/>
    </row>
    <row r="652" spans="1:15" x14ac:dyDescent="0.25">
      <c r="A652">
        <v>1052</v>
      </c>
      <c r="D652" s="2">
        <v>112396.33</v>
      </c>
      <c r="E652" s="2">
        <v>112396.33</v>
      </c>
      <c r="F652" s="1"/>
      <c r="G652"/>
      <c r="H652" s="36" t="s">
        <v>54</v>
      </c>
      <c r="I652" s="48"/>
      <c r="J652" s="48"/>
      <c r="O652"/>
    </row>
    <row r="653" spans="1:15" x14ac:dyDescent="0.25">
      <c r="A653">
        <v>1053</v>
      </c>
      <c r="D653" s="2">
        <v>112396.33</v>
      </c>
      <c r="E653" s="2">
        <v>112396.33</v>
      </c>
      <c r="F653" s="1"/>
      <c r="G653"/>
      <c r="H653" s="36" t="s">
        <v>54</v>
      </c>
      <c r="I653" s="48"/>
      <c r="J653" s="48"/>
      <c r="O653"/>
    </row>
    <row r="654" spans="1:15" x14ac:dyDescent="0.25">
      <c r="A654">
        <v>1054</v>
      </c>
      <c r="D654" s="2">
        <v>112396.33</v>
      </c>
      <c r="E654" s="2">
        <v>112396.33</v>
      </c>
      <c r="F654" s="1"/>
      <c r="G654"/>
      <c r="H654" s="36" t="s">
        <v>54</v>
      </c>
      <c r="I654" s="48"/>
      <c r="J654" s="48"/>
      <c r="O654"/>
    </row>
    <row r="655" spans="1:15" x14ac:dyDescent="0.25">
      <c r="A655">
        <v>1055</v>
      </c>
      <c r="D655" s="2">
        <v>106250.68</v>
      </c>
      <c r="E655" s="2">
        <v>106250.68</v>
      </c>
      <c r="F655" s="1"/>
      <c r="G655"/>
      <c r="H655" s="36" t="s">
        <v>54</v>
      </c>
      <c r="I655" s="48"/>
      <c r="J655" s="48"/>
      <c r="O655"/>
    </row>
    <row r="656" spans="1:15" x14ac:dyDescent="0.25">
      <c r="A656">
        <v>1056</v>
      </c>
      <c r="D656" s="2">
        <v>49600.61</v>
      </c>
      <c r="E656" s="2">
        <v>49600.61</v>
      </c>
      <c r="F656" s="1"/>
      <c r="G656"/>
      <c r="H656" s="36" t="s">
        <v>54</v>
      </c>
      <c r="I656" s="48"/>
      <c r="J656" s="48"/>
      <c r="O656"/>
    </row>
    <row r="657" spans="1:15" x14ac:dyDescent="0.25">
      <c r="A657">
        <v>1057</v>
      </c>
      <c r="D657" s="2">
        <v>49600.61</v>
      </c>
      <c r="E657" s="2">
        <v>49600.61</v>
      </c>
      <c r="F657" s="1"/>
      <c r="G657"/>
      <c r="H657" s="36" t="s">
        <v>54</v>
      </c>
      <c r="I657" s="48"/>
      <c r="J657" s="48"/>
      <c r="O657"/>
    </row>
    <row r="658" spans="1:15" x14ac:dyDescent="0.25">
      <c r="A658">
        <v>1058</v>
      </c>
      <c r="D658" s="2">
        <v>49600.61</v>
      </c>
      <c r="E658" s="2">
        <v>49600.61</v>
      </c>
      <c r="F658" s="1"/>
      <c r="G658"/>
      <c r="H658" s="36" t="s">
        <v>54</v>
      </c>
      <c r="I658" s="48"/>
      <c r="J658" s="48"/>
      <c r="O658"/>
    </row>
    <row r="659" spans="1:15" x14ac:dyDescent="0.25">
      <c r="A659">
        <v>1059</v>
      </c>
      <c r="D659" s="2">
        <v>48625.72</v>
      </c>
      <c r="E659" s="2">
        <v>48625.72</v>
      </c>
      <c r="F659" s="1"/>
      <c r="G659"/>
      <c r="H659" s="36" t="s">
        <v>54</v>
      </c>
      <c r="I659" s="48"/>
      <c r="J659" s="48"/>
      <c r="O659"/>
    </row>
    <row r="660" spans="1:15" x14ac:dyDescent="0.25">
      <c r="A660">
        <v>1060</v>
      </c>
      <c r="D660" s="2">
        <v>112396.33</v>
      </c>
      <c r="E660" s="2">
        <v>112396.33</v>
      </c>
      <c r="F660" s="1"/>
      <c r="G660"/>
      <c r="H660" s="36" t="s">
        <v>54</v>
      </c>
      <c r="I660" s="48"/>
      <c r="J660" s="48"/>
      <c r="O660"/>
    </row>
    <row r="661" spans="1:15" x14ac:dyDescent="0.25">
      <c r="A661">
        <v>1061</v>
      </c>
      <c r="D661" s="2">
        <v>112396.33</v>
      </c>
      <c r="E661" s="2">
        <v>112396.33</v>
      </c>
      <c r="F661" s="1"/>
      <c r="G661"/>
      <c r="H661" s="36" t="s">
        <v>54</v>
      </c>
      <c r="I661" s="48"/>
      <c r="J661" s="48"/>
      <c r="O661"/>
    </row>
    <row r="662" spans="1:15" x14ac:dyDescent="0.25">
      <c r="A662">
        <v>1062</v>
      </c>
      <c r="D662" s="2">
        <v>112396.33</v>
      </c>
      <c r="E662" s="2">
        <v>112396.33</v>
      </c>
      <c r="F662" s="1"/>
      <c r="G662"/>
      <c r="H662" s="36" t="s">
        <v>54</v>
      </c>
      <c r="I662" s="48"/>
      <c r="J662" s="48"/>
      <c r="O662"/>
    </row>
    <row r="663" spans="1:15" x14ac:dyDescent="0.25">
      <c r="A663">
        <v>1063</v>
      </c>
      <c r="D663" s="2">
        <v>446878.48</v>
      </c>
      <c r="E663" s="2">
        <v>446878.48</v>
      </c>
      <c r="F663" s="1"/>
      <c r="G663"/>
      <c r="H663" s="36" t="s">
        <v>56</v>
      </c>
      <c r="I663" s="48"/>
      <c r="J663" s="48"/>
      <c r="O663"/>
    </row>
    <row r="664" spans="1:15" x14ac:dyDescent="0.25">
      <c r="A664">
        <v>1064</v>
      </c>
      <c r="D664" s="2">
        <v>222936.58</v>
      </c>
      <c r="E664" s="2">
        <v>222936.58</v>
      </c>
      <c r="F664" s="1"/>
      <c r="G664"/>
      <c r="H664" s="36" t="s">
        <v>56</v>
      </c>
      <c r="I664" s="48"/>
      <c r="J664" s="48"/>
      <c r="O664"/>
    </row>
    <row r="665" spans="1:15" x14ac:dyDescent="0.25">
      <c r="A665">
        <v>1065</v>
      </c>
      <c r="D665" s="2">
        <v>446878.48</v>
      </c>
      <c r="E665" s="2">
        <v>446878.48</v>
      </c>
      <c r="F665" s="1"/>
      <c r="G665"/>
      <c r="H665" s="36" t="s">
        <v>56</v>
      </c>
      <c r="I665" s="48"/>
      <c r="J665" s="48"/>
      <c r="O665"/>
    </row>
    <row r="666" spans="1:15" x14ac:dyDescent="0.25">
      <c r="A666">
        <v>1066</v>
      </c>
      <c r="D666" s="2">
        <v>222936.58</v>
      </c>
      <c r="E666" s="2">
        <v>222936.58</v>
      </c>
      <c r="F666" s="1"/>
      <c r="G666"/>
      <c r="H666" s="36" t="s">
        <v>56</v>
      </c>
      <c r="I666" s="48"/>
      <c r="J666" s="48"/>
      <c r="O666"/>
    </row>
    <row r="667" spans="1:15" x14ac:dyDescent="0.25">
      <c r="A667">
        <v>1067</v>
      </c>
      <c r="D667" s="2">
        <v>446878.48</v>
      </c>
      <c r="E667" s="2">
        <v>446878.48</v>
      </c>
      <c r="F667" s="1"/>
      <c r="G667"/>
      <c r="H667" s="36" t="s">
        <v>56</v>
      </c>
      <c r="I667" s="48"/>
      <c r="J667" s="48"/>
      <c r="O667"/>
    </row>
    <row r="668" spans="1:15" x14ac:dyDescent="0.25">
      <c r="A668">
        <v>1068</v>
      </c>
      <c r="D668" s="2">
        <v>222936.58</v>
      </c>
      <c r="E668" s="2">
        <v>222936.58</v>
      </c>
      <c r="F668" s="1"/>
      <c r="G668"/>
      <c r="H668" s="36" t="s">
        <v>56</v>
      </c>
      <c r="I668" s="48"/>
      <c r="J668" s="48"/>
      <c r="O668"/>
    </row>
    <row r="669" spans="1:15" x14ac:dyDescent="0.25">
      <c r="A669">
        <v>1069</v>
      </c>
      <c r="D669" s="2">
        <v>446878.48</v>
      </c>
      <c r="E669" s="2">
        <v>446878.48</v>
      </c>
      <c r="F669" s="1"/>
      <c r="G669"/>
      <c r="H669" s="36" t="s">
        <v>56</v>
      </c>
      <c r="I669" s="48"/>
      <c r="J669" s="48"/>
      <c r="O669"/>
    </row>
    <row r="670" spans="1:15" x14ac:dyDescent="0.25">
      <c r="A670">
        <v>1070</v>
      </c>
      <c r="D670" s="2">
        <v>445873.16</v>
      </c>
      <c r="E670" s="2">
        <v>445873.16</v>
      </c>
      <c r="F670" s="1"/>
      <c r="G670"/>
      <c r="H670" s="36" t="s">
        <v>56</v>
      </c>
      <c r="I670" s="48"/>
      <c r="J670" s="48"/>
      <c r="O670"/>
    </row>
    <row r="671" spans="1:15" x14ac:dyDescent="0.25">
      <c r="A671">
        <v>1072</v>
      </c>
      <c r="D671" s="2">
        <v>29386.75</v>
      </c>
      <c r="E671" s="2">
        <v>29386.75</v>
      </c>
      <c r="F671" s="1"/>
      <c r="G671"/>
      <c r="H671" s="36" t="s">
        <v>100</v>
      </c>
      <c r="I671" s="48"/>
      <c r="J671" s="48"/>
      <c r="O671"/>
    </row>
    <row r="672" spans="1:15" x14ac:dyDescent="0.25">
      <c r="A672">
        <v>1073</v>
      </c>
      <c r="D672" s="2">
        <v>79031.55</v>
      </c>
      <c r="E672" s="2">
        <v>79031.55</v>
      </c>
      <c r="F672" s="1"/>
      <c r="G672"/>
      <c r="H672" s="36" t="s">
        <v>56</v>
      </c>
      <c r="I672" s="48"/>
      <c r="J672" s="48"/>
      <c r="O672"/>
    </row>
    <row r="673" spans="1:15" x14ac:dyDescent="0.25">
      <c r="A673">
        <v>1074</v>
      </c>
      <c r="D673" s="2">
        <v>79031.55</v>
      </c>
      <c r="E673" s="2">
        <v>79031.55</v>
      </c>
      <c r="F673" s="1"/>
      <c r="G673"/>
      <c r="H673" s="36" t="s">
        <v>56</v>
      </c>
      <c r="I673" s="48"/>
      <c r="J673" s="48"/>
      <c r="O673"/>
    </row>
    <row r="674" spans="1:15" x14ac:dyDescent="0.25">
      <c r="A674">
        <v>1075</v>
      </c>
      <c r="D674" s="2">
        <v>158063.09</v>
      </c>
      <c r="E674" s="2">
        <v>158063.09</v>
      </c>
      <c r="F674" s="1"/>
      <c r="G674"/>
      <c r="H674" s="36" t="s">
        <v>56</v>
      </c>
      <c r="I674" s="48"/>
      <c r="J674" s="48"/>
      <c r="O674"/>
    </row>
    <row r="675" spans="1:15" x14ac:dyDescent="0.25">
      <c r="A675">
        <v>1076</v>
      </c>
      <c r="D675" s="2">
        <v>79031.55</v>
      </c>
      <c r="E675" s="2">
        <v>79031.55</v>
      </c>
      <c r="F675" s="1"/>
      <c r="G675"/>
      <c r="H675" s="36" t="s">
        <v>56</v>
      </c>
      <c r="I675" s="48"/>
      <c r="J675" s="48"/>
      <c r="O675"/>
    </row>
    <row r="676" spans="1:15" x14ac:dyDescent="0.25">
      <c r="A676">
        <v>1078</v>
      </c>
      <c r="D676" s="2">
        <v>4692.6400000000003</v>
      </c>
      <c r="E676" s="2">
        <v>4692.6400000000003</v>
      </c>
      <c r="F676" s="1"/>
      <c r="G676"/>
      <c r="H676" s="36" t="s">
        <v>58</v>
      </c>
      <c r="I676" s="48"/>
      <c r="J676" s="48"/>
      <c r="O676"/>
    </row>
    <row r="677" spans="1:15" x14ac:dyDescent="0.25">
      <c r="A677">
        <v>1079</v>
      </c>
      <c r="D677" s="2">
        <v>4692.6400000000003</v>
      </c>
      <c r="E677" s="2">
        <v>4692.6400000000003</v>
      </c>
      <c r="F677" s="1"/>
      <c r="G677"/>
      <c r="H677" s="36" t="s">
        <v>58</v>
      </c>
      <c r="I677" s="48"/>
      <c r="J677" s="48"/>
      <c r="O677"/>
    </row>
    <row r="678" spans="1:15" x14ac:dyDescent="0.25">
      <c r="A678">
        <v>1080</v>
      </c>
      <c r="D678" s="2">
        <v>4692.6400000000003</v>
      </c>
      <c r="E678" s="2">
        <v>4692.6400000000003</v>
      </c>
      <c r="F678" s="1"/>
      <c r="G678"/>
      <c r="H678" s="36" t="s">
        <v>58</v>
      </c>
      <c r="I678" s="48"/>
      <c r="J678" s="48"/>
      <c r="O678"/>
    </row>
    <row r="679" spans="1:15" x14ac:dyDescent="0.25">
      <c r="A679">
        <v>1081</v>
      </c>
      <c r="D679" s="2">
        <v>4692.6400000000003</v>
      </c>
      <c r="E679" s="2">
        <v>4692.6400000000003</v>
      </c>
      <c r="F679" s="1"/>
      <c r="G679"/>
      <c r="H679" s="36" t="s">
        <v>58</v>
      </c>
      <c r="I679" s="48"/>
      <c r="J679" s="48"/>
      <c r="O679"/>
    </row>
    <row r="680" spans="1:15" x14ac:dyDescent="0.25">
      <c r="A680">
        <v>1082</v>
      </c>
      <c r="D680" s="2">
        <v>4692.6400000000003</v>
      </c>
      <c r="E680" s="2">
        <v>4692.6400000000003</v>
      </c>
      <c r="F680" s="1"/>
      <c r="G680"/>
      <c r="H680" s="36" t="s">
        <v>58</v>
      </c>
      <c r="I680" s="48"/>
      <c r="J680" s="48"/>
      <c r="O680"/>
    </row>
    <row r="681" spans="1:15" x14ac:dyDescent="0.25">
      <c r="A681">
        <v>1083</v>
      </c>
      <c r="D681" s="2">
        <v>4692.6400000000003</v>
      </c>
      <c r="E681" s="2">
        <v>4692.6400000000003</v>
      </c>
      <c r="F681" s="1"/>
      <c r="G681"/>
      <c r="H681" s="36" t="s">
        <v>58</v>
      </c>
      <c r="I681" s="48"/>
      <c r="J681" s="48"/>
      <c r="O681"/>
    </row>
    <row r="682" spans="1:15" x14ac:dyDescent="0.25">
      <c r="A682">
        <v>1084</v>
      </c>
      <c r="D682" s="2">
        <v>4692.6400000000003</v>
      </c>
      <c r="E682" s="2">
        <v>4692.6400000000003</v>
      </c>
      <c r="F682" s="1"/>
      <c r="G682"/>
      <c r="H682" s="36" t="s">
        <v>58</v>
      </c>
      <c r="I682" s="48"/>
      <c r="J682" s="48"/>
      <c r="O682"/>
    </row>
    <row r="683" spans="1:15" x14ac:dyDescent="0.25">
      <c r="A683">
        <v>1086</v>
      </c>
      <c r="D683" s="2">
        <v>15943.32</v>
      </c>
      <c r="E683" s="2">
        <v>15943.32</v>
      </c>
      <c r="F683" s="1"/>
      <c r="G683"/>
      <c r="H683" s="36" t="s">
        <v>58</v>
      </c>
      <c r="I683" s="48"/>
      <c r="J683" s="48"/>
      <c r="O683"/>
    </row>
    <row r="684" spans="1:15" x14ac:dyDescent="0.25">
      <c r="A684">
        <v>1087</v>
      </c>
      <c r="D684" s="2">
        <v>15943.32</v>
      </c>
      <c r="E684" s="2">
        <v>15943.32</v>
      </c>
      <c r="F684" s="1"/>
      <c r="G684"/>
      <c r="H684" s="36" t="s">
        <v>58</v>
      </c>
      <c r="I684" s="48"/>
      <c r="J684" s="48"/>
      <c r="O684"/>
    </row>
    <row r="685" spans="1:15" x14ac:dyDescent="0.25">
      <c r="A685">
        <v>1088</v>
      </c>
      <c r="D685" s="2">
        <v>15943.32</v>
      </c>
      <c r="E685" s="2">
        <v>15943.32</v>
      </c>
      <c r="F685" s="1"/>
      <c r="G685"/>
      <c r="H685" s="36" t="s">
        <v>58</v>
      </c>
      <c r="I685" s="48"/>
      <c r="J685" s="48"/>
      <c r="O685"/>
    </row>
    <row r="686" spans="1:15" x14ac:dyDescent="0.25">
      <c r="A686">
        <v>1089</v>
      </c>
      <c r="D686" s="2">
        <v>2669.89</v>
      </c>
      <c r="E686" s="2">
        <v>2669.89</v>
      </c>
      <c r="F686" s="1"/>
      <c r="G686"/>
      <c r="H686" s="36" t="s">
        <v>108</v>
      </c>
      <c r="I686" s="48"/>
      <c r="J686" s="48"/>
      <c r="O686"/>
    </row>
    <row r="687" spans="1:15" x14ac:dyDescent="0.25">
      <c r="A687">
        <v>109</v>
      </c>
      <c r="D687" s="2">
        <v>38760.5</v>
      </c>
      <c r="E687" s="2">
        <v>38760.5</v>
      </c>
      <c r="F687" s="1"/>
      <c r="G687"/>
      <c r="H687" s="36" t="s">
        <v>53</v>
      </c>
      <c r="I687" s="48"/>
      <c r="J687" s="48"/>
      <c r="O687"/>
    </row>
    <row r="688" spans="1:15" x14ac:dyDescent="0.25">
      <c r="A688">
        <v>1091</v>
      </c>
      <c r="D688" s="2">
        <v>213065.56</v>
      </c>
      <c r="E688" s="2">
        <v>213065.56</v>
      </c>
      <c r="F688" s="1"/>
      <c r="G688"/>
      <c r="H688" s="36" t="s">
        <v>56</v>
      </c>
      <c r="I688" s="48"/>
      <c r="J688" s="48"/>
      <c r="O688"/>
    </row>
    <row r="689" spans="1:15" x14ac:dyDescent="0.25">
      <c r="A689">
        <v>1092</v>
      </c>
      <c r="D689" s="2">
        <v>27738.68</v>
      </c>
      <c r="E689" s="2">
        <v>27738.68</v>
      </c>
      <c r="F689" s="1"/>
      <c r="G689"/>
      <c r="H689" s="36" t="s">
        <v>56</v>
      </c>
      <c r="I689" s="48"/>
      <c r="J689" s="48"/>
      <c r="O689"/>
    </row>
    <row r="690" spans="1:15" x14ac:dyDescent="0.25">
      <c r="A690">
        <v>1093</v>
      </c>
      <c r="D690" s="2">
        <v>27738.68</v>
      </c>
      <c r="E690" s="2">
        <v>27738.68</v>
      </c>
      <c r="F690" s="1"/>
      <c r="G690"/>
      <c r="H690" s="36" t="s">
        <v>56</v>
      </c>
      <c r="I690" s="48"/>
      <c r="J690" s="48"/>
      <c r="O690"/>
    </row>
    <row r="691" spans="1:15" x14ac:dyDescent="0.25">
      <c r="A691">
        <v>1094</v>
      </c>
      <c r="D691" s="2">
        <v>177445.45</v>
      </c>
      <c r="E691" s="2">
        <v>177445.45</v>
      </c>
      <c r="F691" s="1"/>
      <c r="G691"/>
      <c r="H691" s="36" t="s">
        <v>56</v>
      </c>
      <c r="I691" s="48"/>
      <c r="J691" s="48"/>
      <c r="O691"/>
    </row>
    <row r="692" spans="1:15" x14ac:dyDescent="0.25">
      <c r="A692">
        <v>1095</v>
      </c>
      <c r="D692" s="2">
        <v>177445.45</v>
      </c>
      <c r="E692" s="2">
        <v>177445.45</v>
      </c>
      <c r="F692" s="1"/>
      <c r="G692"/>
      <c r="H692" s="36" t="s">
        <v>56</v>
      </c>
      <c r="I692" s="48"/>
      <c r="J692" s="48"/>
      <c r="O692"/>
    </row>
    <row r="693" spans="1:15" x14ac:dyDescent="0.25">
      <c r="A693">
        <v>1096</v>
      </c>
      <c r="D693" s="2">
        <v>18744.580000000002</v>
      </c>
      <c r="E693" s="2">
        <v>18744.580000000002</v>
      </c>
      <c r="F693" s="1"/>
      <c r="G693"/>
      <c r="H693" s="36" t="s">
        <v>108</v>
      </c>
      <c r="I693" s="48"/>
      <c r="J693" s="48"/>
      <c r="O693"/>
    </row>
    <row r="694" spans="1:15" x14ac:dyDescent="0.25">
      <c r="A694">
        <v>1097</v>
      </c>
      <c r="D694" s="2">
        <v>37286.32</v>
      </c>
      <c r="E694" s="2">
        <v>37286.32</v>
      </c>
      <c r="F694" s="1"/>
      <c r="G694"/>
      <c r="H694" s="36" t="s">
        <v>54</v>
      </c>
      <c r="I694" s="48"/>
      <c r="J694" s="48"/>
      <c r="O694"/>
    </row>
    <row r="695" spans="1:15" x14ac:dyDescent="0.25">
      <c r="A695">
        <v>1098</v>
      </c>
      <c r="D695" s="2">
        <v>37286.32</v>
      </c>
      <c r="E695" s="2">
        <v>37286.32</v>
      </c>
      <c r="F695" s="1"/>
      <c r="G695"/>
      <c r="H695" s="36" t="s">
        <v>54</v>
      </c>
      <c r="I695" s="48"/>
      <c r="J695" s="48"/>
      <c r="O695"/>
    </row>
    <row r="696" spans="1:15" x14ac:dyDescent="0.25">
      <c r="A696">
        <v>1099</v>
      </c>
      <c r="D696" s="2">
        <v>37286.32</v>
      </c>
      <c r="E696" s="2">
        <v>37286.32</v>
      </c>
      <c r="F696" s="1"/>
      <c r="G696"/>
      <c r="H696" s="36" t="s">
        <v>54</v>
      </c>
      <c r="I696" s="48"/>
      <c r="J696" s="48"/>
      <c r="O696"/>
    </row>
    <row r="697" spans="1:15" x14ac:dyDescent="0.25">
      <c r="A697">
        <v>11</v>
      </c>
      <c r="D697" s="2">
        <v>27705.620000000003</v>
      </c>
      <c r="E697" s="2">
        <v>27705.620000000003</v>
      </c>
      <c r="F697" s="1"/>
      <c r="G697"/>
      <c r="H697" s="36" t="s">
        <v>55</v>
      </c>
      <c r="I697" s="48"/>
      <c r="J697" s="48"/>
      <c r="O697"/>
    </row>
    <row r="698" spans="1:15" x14ac:dyDescent="0.25">
      <c r="A698">
        <v>1100</v>
      </c>
      <c r="D698" s="2">
        <v>37286.32</v>
      </c>
      <c r="E698" s="2">
        <v>37286.32</v>
      </c>
      <c r="F698" s="1"/>
      <c r="G698"/>
      <c r="H698" s="36" t="s">
        <v>54</v>
      </c>
      <c r="I698" s="48"/>
      <c r="J698" s="48"/>
      <c r="O698"/>
    </row>
    <row r="699" spans="1:15" x14ac:dyDescent="0.25">
      <c r="A699">
        <v>1101</v>
      </c>
      <c r="D699" s="2">
        <v>37286.32</v>
      </c>
      <c r="E699" s="2">
        <v>37286.32</v>
      </c>
      <c r="F699" s="1"/>
      <c r="G699"/>
      <c r="H699" s="36" t="s">
        <v>54</v>
      </c>
      <c r="I699" s="48"/>
      <c r="J699" s="48"/>
      <c r="O699"/>
    </row>
    <row r="700" spans="1:15" x14ac:dyDescent="0.25">
      <c r="A700">
        <v>1102</v>
      </c>
      <c r="D700" s="2">
        <v>37286.32</v>
      </c>
      <c r="E700" s="2">
        <v>37286.32</v>
      </c>
      <c r="F700" s="1"/>
      <c r="G700"/>
      <c r="H700" s="36" t="s">
        <v>54</v>
      </c>
      <c r="I700" s="48"/>
      <c r="J700" s="48"/>
      <c r="O700"/>
    </row>
    <row r="701" spans="1:15" x14ac:dyDescent="0.25">
      <c r="A701">
        <v>1103</v>
      </c>
      <c r="D701" s="2">
        <v>37286.32</v>
      </c>
      <c r="E701" s="2">
        <v>37286.32</v>
      </c>
      <c r="F701" s="1"/>
      <c r="G701"/>
      <c r="H701" s="36" t="s">
        <v>54</v>
      </c>
      <c r="I701" s="48"/>
      <c r="J701" s="48"/>
      <c r="O701"/>
    </row>
    <row r="702" spans="1:15" x14ac:dyDescent="0.25">
      <c r="A702">
        <v>1104</v>
      </c>
      <c r="D702" s="2">
        <v>37286.32</v>
      </c>
      <c r="E702" s="2">
        <v>37286.32</v>
      </c>
      <c r="F702" s="1"/>
      <c r="G702"/>
      <c r="H702" s="36" t="s">
        <v>54</v>
      </c>
      <c r="I702" s="48"/>
      <c r="J702" s="48"/>
      <c r="O702"/>
    </row>
    <row r="703" spans="1:15" x14ac:dyDescent="0.25">
      <c r="A703">
        <v>1105</v>
      </c>
      <c r="D703" s="2">
        <v>37286.32</v>
      </c>
      <c r="E703" s="2">
        <v>37286.32</v>
      </c>
      <c r="F703" s="1"/>
      <c r="G703"/>
      <c r="H703" s="36" t="s">
        <v>54</v>
      </c>
      <c r="I703" s="48"/>
      <c r="J703" s="48"/>
      <c r="O703"/>
    </row>
    <row r="704" spans="1:15" x14ac:dyDescent="0.25">
      <c r="A704">
        <v>1106</v>
      </c>
      <c r="D704" s="2">
        <v>37286.32</v>
      </c>
      <c r="E704" s="2">
        <v>37286.32</v>
      </c>
      <c r="F704" s="1"/>
      <c r="G704"/>
      <c r="H704" s="36" t="s">
        <v>54</v>
      </c>
      <c r="I704" s="48"/>
      <c r="J704" s="48"/>
      <c r="O704"/>
    </row>
    <row r="705" spans="1:15" x14ac:dyDescent="0.25">
      <c r="A705">
        <v>1107</v>
      </c>
      <c r="D705" s="2">
        <v>37286.32</v>
      </c>
      <c r="E705" s="2">
        <v>37286.32</v>
      </c>
      <c r="F705" s="1"/>
      <c r="G705"/>
      <c r="H705" s="36" t="s">
        <v>54</v>
      </c>
      <c r="I705" s="48"/>
      <c r="J705" s="48"/>
      <c r="O705"/>
    </row>
    <row r="706" spans="1:15" x14ac:dyDescent="0.25">
      <c r="A706">
        <v>1108</v>
      </c>
      <c r="D706" s="2">
        <v>37286.32</v>
      </c>
      <c r="E706" s="2">
        <v>37286.32</v>
      </c>
      <c r="F706" s="1"/>
      <c r="G706"/>
      <c r="H706" s="36" t="s">
        <v>54</v>
      </c>
      <c r="I706" s="48"/>
      <c r="J706" s="48"/>
      <c r="O706"/>
    </row>
    <row r="707" spans="1:15" x14ac:dyDescent="0.25">
      <c r="A707">
        <v>1109</v>
      </c>
      <c r="D707" s="2">
        <v>37286.32</v>
      </c>
      <c r="E707" s="2">
        <v>37286.32</v>
      </c>
      <c r="F707" s="1"/>
      <c r="G707"/>
      <c r="H707" s="36" t="s">
        <v>54</v>
      </c>
      <c r="I707" s="48"/>
      <c r="J707" s="48"/>
      <c r="O707"/>
    </row>
    <row r="708" spans="1:15" x14ac:dyDescent="0.25">
      <c r="A708">
        <v>1110</v>
      </c>
      <c r="D708" s="2">
        <v>37286.32</v>
      </c>
      <c r="E708" s="2">
        <v>37286.32</v>
      </c>
      <c r="F708" s="1"/>
      <c r="G708"/>
      <c r="H708" s="36" t="s">
        <v>54</v>
      </c>
      <c r="I708" s="48"/>
      <c r="J708" s="48"/>
      <c r="O708"/>
    </row>
    <row r="709" spans="1:15" x14ac:dyDescent="0.25">
      <c r="A709">
        <v>1111</v>
      </c>
      <c r="D709" s="2">
        <v>37286.32</v>
      </c>
      <c r="E709" s="2">
        <v>37286.32</v>
      </c>
      <c r="F709" s="1"/>
      <c r="G709"/>
      <c r="H709" s="36" t="s">
        <v>54</v>
      </c>
      <c r="I709" s="48"/>
      <c r="J709" s="48"/>
      <c r="O709"/>
    </row>
    <row r="710" spans="1:15" x14ac:dyDescent="0.25">
      <c r="A710">
        <v>1112</v>
      </c>
      <c r="D710" s="2">
        <v>37286.32</v>
      </c>
      <c r="E710" s="2">
        <v>37286.32</v>
      </c>
      <c r="F710" s="1"/>
      <c r="G710"/>
      <c r="H710" s="36" t="s">
        <v>54</v>
      </c>
      <c r="I710" s="48"/>
      <c r="J710" s="48"/>
      <c r="O710"/>
    </row>
    <row r="711" spans="1:15" x14ac:dyDescent="0.25">
      <c r="A711">
        <v>1113</v>
      </c>
      <c r="D711" s="2">
        <v>37286.32</v>
      </c>
      <c r="E711" s="2">
        <v>37286.32</v>
      </c>
      <c r="F711" s="1"/>
      <c r="G711"/>
      <c r="H711" s="36" t="s">
        <v>54</v>
      </c>
      <c r="I711" s="48"/>
      <c r="J711" s="48"/>
      <c r="O711"/>
    </row>
    <row r="712" spans="1:15" x14ac:dyDescent="0.25">
      <c r="A712">
        <v>1114</v>
      </c>
      <c r="D712" s="2">
        <v>37286.32</v>
      </c>
      <c r="E712" s="2">
        <v>37286.32</v>
      </c>
      <c r="F712" s="1"/>
      <c r="G712"/>
      <c r="H712" s="36" t="s">
        <v>54</v>
      </c>
      <c r="I712" s="48"/>
      <c r="J712" s="48"/>
      <c r="O712"/>
    </row>
    <row r="713" spans="1:15" x14ac:dyDescent="0.25">
      <c r="A713">
        <v>1115</v>
      </c>
      <c r="D713" s="2">
        <v>109581.28</v>
      </c>
      <c r="E713" s="2">
        <v>109581.28</v>
      </c>
      <c r="F713" s="1"/>
      <c r="G713"/>
      <c r="H713" s="36" t="s">
        <v>54</v>
      </c>
      <c r="I713" s="48"/>
      <c r="J713" s="48"/>
      <c r="O713"/>
    </row>
    <row r="714" spans="1:15" x14ac:dyDescent="0.25">
      <c r="A714">
        <v>1116</v>
      </c>
      <c r="D714" s="2">
        <v>239809.96</v>
      </c>
      <c r="E714" s="2">
        <v>239809.96</v>
      </c>
      <c r="F714" s="1"/>
      <c r="G714"/>
      <c r="H714" s="36" t="s">
        <v>110</v>
      </c>
      <c r="I714" s="48"/>
      <c r="J714" s="48"/>
      <c r="O714"/>
    </row>
    <row r="715" spans="1:15" x14ac:dyDescent="0.25">
      <c r="A715">
        <v>1117</v>
      </c>
      <c r="D715" s="2">
        <v>4537.08</v>
      </c>
      <c r="E715" s="2">
        <v>4537.08</v>
      </c>
      <c r="F715" s="1"/>
      <c r="G715"/>
      <c r="H715" s="36" t="s">
        <v>58</v>
      </c>
      <c r="I715" s="48"/>
      <c r="J715" s="48"/>
      <c r="O715"/>
    </row>
    <row r="716" spans="1:15" x14ac:dyDescent="0.25">
      <c r="A716">
        <v>1118</v>
      </c>
      <c r="D716" s="2">
        <v>4537.08</v>
      </c>
      <c r="E716" s="2">
        <v>4537.08</v>
      </c>
      <c r="F716" s="1"/>
      <c r="G716"/>
      <c r="H716" s="36" t="s">
        <v>58</v>
      </c>
      <c r="I716" s="48"/>
      <c r="J716" s="48"/>
      <c r="O716"/>
    </row>
    <row r="717" spans="1:15" x14ac:dyDescent="0.25">
      <c r="A717">
        <v>1119</v>
      </c>
      <c r="D717" s="2">
        <v>4537.08</v>
      </c>
      <c r="E717" s="2">
        <v>4537.08</v>
      </c>
      <c r="F717" s="1"/>
      <c r="G717"/>
      <c r="H717" s="36" t="s">
        <v>58</v>
      </c>
      <c r="I717" s="48"/>
      <c r="J717" s="48"/>
      <c r="O717"/>
    </row>
    <row r="718" spans="1:15" x14ac:dyDescent="0.25">
      <c r="A718">
        <v>1120</v>
      </c>
      <c r="D718" s="2">
        <v>4537.08</v>
      </c>
      <c r="E718" s="2">
        <v>4537.08</v>
      </c>
      <c r="F718" s="1"/>
      <c r="G718"/>
      <c r="H718" s="36" t="s">
        <v>58</v>
      </c>
      <c r="I718" s="48"/>
      <c r="J718" s="48"/>
      <c r="O718"/>
    </row>
    <row r="719" spans="1:15" x14ac:dyDescent="0.25">
      <c r="A719">
        <v>1121</v>
      </c>
      <c r="D719" s="2">
        <v>4537.08</v>
      </c>
      <c r="E719" s="2">
        <v>4537.08</v>
      </c>
      <c r="F719" s="1"/>
      <c r="G719"/>
      <c r="H719" s="36" t="s">
        <v>58</v>
      </c>
      <c r="I719" s="48"/>
      <c r="J719" s="48"/>
      <c r="O719"/>
    </row>
    <row r="720" spans="1:15" x14ac:dyDescent="0.25">
      <c r="A720">
        <v>1122</v>
      </c>
      <c r="D720" s="2">
        <v>4537.08</v>
      </c>
      <c r="E720" s="2">
        <v>4537.08</v>
      </c>
      <c r="F720" s="1"/>
      <c r="G720"/>
      <c r="H720" s="36" t="s">
        <v>58</v>
      </c>
      <c r="I720" s="48"/>
      <c r="J720" s="48"/>
      <c r="O720"/>
    </row>
    <row r="721" spans="1:15" x14ac:dyDescent="0.25">
      <c r="A721">
        <v>1123</v>
      </c>
      <c r="D721" s="2">
        <v>4537.08</v>
      </c>
      <c r="E721" s="2">
        <v>4537.08</v>
      </c>
      <c r="F721" s="1"/>
      <c r="G721"/>
      <c r="H721" s="36" t="s">
        <v>58</v>
      </c>
      <c r="I721" s="48"/>
      <c r="J721" s="48"/>
      <c r="O721"/>
    </row>
    <row r="722" spans="1:15" x14ac:dyDescent="0.25">
      <c r="A722">
        <v>1124</v>
      </c>
      <c r="D722" s="2">
        <v>4537.08</v>
      </c>
      <c r="E722" s="2">
        <v>4537.08</v>
      </c>
      <c r="F722" s="1"/>
      <c r="G722"/>
      <c r="H722" s="36" t="s">
        <v>58</v>
      </c>
      <c r="I722" s="48"/>
      <c r="J722" s="48"/>
      <c r="O722"/>
    </row>
    <row r="723" spans="1:15" x14ac:dyDescent="0.25">
      <c r="A723">
        <v>1125</v>
      </c>
      <c r="D723" s="2">
        <v>4537.08</v>
      </c>
      <c r="E723" s="2">
        <v>4537.08</v>
      </c>
      <c r="F723" s="1"/>
      <c r="G723"/>
      <c r="H723" s="36" t="s">
        <v>58</v>
      </c>
      <c r="I723" s="48"/>
      <c r="J723" s="48"/>
      <c r="O723"/>
    </row>
    <row r="724" spans="1:15" x14ac:dyDescent="0.25">
      <c r="A724">
        <v>1126</v>
      </c>
      <c r="D724" s="2">
        <v>4537.08</v>
      </c>
      <c r="E724" s="2">
        <v>4537.08</v>
      </c>
      <c r="F724" s="1"/>
      <c r="G724"/>
      <c r="H724" s="36" t="s">
        <v>58</v>
      </c>
      <c r="I724" s="48"/>
      <c r="J724" s="48"/>
      <c r="O724"/>
    </row>
    <row r="725" spans="1:15" x14ac:dyDescent="0.25">
      <c r="A725">
        <v>1127</v>
      </c>
      <c r="D725" s="2">
        <v>4537.08</v>
      </c>
      <c r="E725" s="2">
        <v>4537.08</v>
      </c>
      <c r="F725" s="1"/>
      <c r="G725"/>
      <c r="H725" s="36" t="s">
        <v>58</v>
      </c>
      <c r="I725" s="48"/>
      <c r="J725" s="48"/>
      <c r="O725"/>
    </row>
    <row r="726" spans="1:15" x14ac:dyDescent="0.25">
      <c r="A726">
        <v>1128</v>
      </c>
      <c r="D726" s="2">
        <v>4537.08</v>
      </c>
      <c r="E726" s="2">
        <v>4537.08</v>
      </c>
      <c r="F726" s="1"/>
      <c r="G726"/>
      <c r="H726" s="36" t="s">
        <v>58</v>
      </c>
      <c r="I726" s="48"/>
      <c r="J726" s="48"/>
      <c r="O726"/>
    </row>
    <row r="727" spans="1:15" x14ac:dyDescent="0.25">
      <c r="A727">
        <v>1129</v>
      </c>
      <c r="D727" s="2">
        <v>4537.08</v>
      </c>
      <c r="E727" s="2">
        <v>4537.08</v>
      </c>
      <c r="F727" s="1"/>
      <c r="G727"/>
      <c r="H727" s="36" t="s">
        <v>58</v>
      </c>
      <c r="I727" s="48"/>
      <c r="J727" s="48"/>
      <c r="O727"/>
    </row>
    <row r="728" spans="1:15" x14ac:dyDescent="0.25">
      <c r="A728">
        <v>1130</v>
      </c>
      <c r="D728" s="2">
        <v>4537.08</v>
      </c>
      <c r="E728" s="2">
        <v>4537.08</v>
      </c>
      <c r="F728" s="1"/>
      <c r="G728"/>
      <c r="H728" s="36" t="s">
        <v>58</v>
      </c>
      <c r="I728" s="48"/>
      <c r="J728" s="48"/>
      <c r="O728"/>
    </row>
    <row r="729" spans="1:15" x14ac:dyDescent="0.25">
      <c r="A729">
        <v>1131</v>
      </c>
      <c r="D729" s="2">
        <v>4537.08</v>
      </c>
      <c r="E729" s="2">
        <v>4537.08</v>
      </c>
      <c r="F729" s="1"/>
      <c r="G729"/>
      <c r="H729" s="36" t="s">
        <v>58</v>
      </c>
      <c r="I729" s="48"/>
      <c r="J729" s="48"/>
      <c r="O729"/>
    </row>
    <row r="730" spans="1:15" x14ac:dyDescent="0.25">
      <c r="A730">
        <v>1132</v>
      </c>
      <c r="D730" s="2">
        <v>4537.08</v>
      </c>
      <c r="E730" s="2">
        <v>4537.08</v>
      </c>
      <c r="F730" s="1"/>
      <c r="G730"/>
      <c r="H730" s="36" t="s">
        <v>58</v>
      </c>
      <c r="I730" s="48"/>
      <c r="J730" s="48"/>
      <c r="O730"/>
    </row>
    <row r="731" spans="1:15" x14ac:dyDescent="0.25">
      <c r="A731">
        <v>1133</v>
      </c>
      <c r="D731" s="2">
        <v>4537.08</v>
      </c>
      <c r="E731" s="2">
        <v>4537.08</v>
      </c>
      <c r="F731" s="1"/>
      <c r="G731"/>
      <c r="H731" s="36" t="s">
        <v>58</v>
      </c>
      <c r="I731" s="48"/>
      <c r="J731" s="48"/>
      <c r="O731"/>
    </row>
    <row r="732" spans="1:15" x14ac:dyDescent="0.25">
      <c r="A732">
        <v>1134</v>
      </c>
      <c r="D732" s="2">
        <v>4537.08</v>
      </c>
      <c r="E732" s="2">
        <v>4537.08</v>
      </c>
      <c r="F732" s="1"/>
      <c r="G732"/>
      <c r="H732" s="36" t="s">
        <v>58</v>
      </c>
      <c r="I732" s="48"/>
      <c r="J732" s="48"/>
      <c r="O732"/>
    </row>
    <row r="733" spans="1:15" x14ac:dyDescent="0.25">
      <c r="A733">
        <v>1135</v>
      </c>
      <c r="D733" s="2">
        <v>4537.08</v>
      </c>
      <c r="E733" s="2">
        <v>4537.08</v>
      </c>
      <c r="F733" s="1"/>
      <c r="G733"/>
      <c r="H733" s="36" t="s">
        <v>58</v>
      </c>
      <c r="I733" s="48"/>
      <c r="J733" s="48"/>
      <c r="O733"/>
    </row>
    <row r="734" spans="1:15" x14ac:dyDescent="0.25">
      <c r="A734">
        <v>1136</v>
      </c>
      <c r="D734" s="2">
        <v>4537.08</v>
      </c>
      <c r="E734" s="2">
        <v>4537.08</v>
      </c>
      <c r="F734" s="1"/>
      <c r="G734"/>
      <c r="H734" s="36" t="s">
        <v>58</v>
      </c>
      <c r="I734" s="48"/>
      <c r="J734" s="48"/>
      <c r="O734"/>
    </row>
    <row r="735" spans="1:15" x14ac:dyDescent="0.25">
      <c r="A735">
        <v>1137</v>
      </c>
      <c r="D735" s="2">
        <v>4537.08</v>
      </c>
      <c r="E735" s="2">
        <v>4537.08</v>
      </c>
      <c r="F735" s="1"/>
      <c r="G735"/>
      <c r="H735" s="36" t="s">
        <v>58</v>
      </c>
      <c r="I735" s="48"/>
      <c r="J735" s="48"/>
      <c r="O735"/>
    </row>
    <row r="736" spans="1:15" x14ac:dyDescent="0.25">
      <c r="A736">
        <v>1138</v>
      </c>
      <c r="D736" s="2">
        <v>78328.240000000005</v>
      </c>
      <c r="E736" s="2">
        <v>78328.240000000005</v>
      </c>
      <c r="F736" s="1"/>
      <c r="G736"/>
      <c r="H736" s="36" t="s">
        <v>100</v>
      </c>
      <c r="I736" s="48"/>
      <c r="J736" s="48"/>
      <c r="O736"/>
    </row>
    <row r="737" spans="1:15" x14ac:dyDescent="0.25">
      <c r="A737">
        <v>1139</v>
      </c>
      <c r="D737" s="2">
        <v>20142.5</v>
      </c>
      <c r="E737" s="2">
        <v>20142.5</v>
      </c>
      <c r="F737" s="1"/>
      <c r="G737"/>
      <c r="H737" s="36" t="s">
        <v>100</v>
      </c>
      <c r="I737" s="48"/>
      <c r="J737" s="48"/>
      <c r="O737"/>
    </row>
    <row r="738" spans="1:15" x14ac:dyDescent="0.25">
      <c r="A738">
        <v>1140</v>
      </c>
      <c r="D738" s="2">
        <v>3285000</v>
      </c>
      <c r="E738" s="2">
        <v>3285000</v>
      </c>
      <c r="F738" s="1"/>
      <c r="G738"/>
      <c r="H738" s="36" t="s">
        <v>105</v>
      </c>
      <c r="I738" s="48"/>
      <c r="J738" s="48"/>
      <c r="O738"/>
    </row>
    <row r="739" spans="1:15" x14ac:dyDescent="0.25">
      <c r="A739">
        <v>1141</v>
      </c>
      <c r="D739" s="2">
        <v>6840000</v>
      </c>
      <c r="E739" s="2">
        <v>6840000</v>
      </c>
      <c r="F739" s="1"/>
      <c r="G739"/>
      <c r="H739" s="36" t="s">
        <v>105</v>
      </c>
      <c r="I739" s="48"/>
      <c r="J739" s="48"/>
      <c r="O739"/>
    </row>
    <row r="740" spans="1:15" x14ac:dyDescent="0.25">
      <c r="A740">
        <v>1142</v>
      </c>
      <c r="D740" s="2">
        <v>9074.16</v>
      </c>
      <c r="E740" s="2">
        <v>9074.16</v>
      </c>
      <c r="F740" s="1"/>
      <c r="G740"/>
      <c r="H740" s="36" t="s">
        <v>58</v>
      </c>
      <c r="I740" s="48"/>
      <c r="J740" s="48"/>
      <c r="O740"/>
    </row>
    <row r="741" spans="1:15" x14ac:dyDescent="0.25">
      <c r="A741">
        <v>1143</v>
      </c>
      <c r="D741" s="2">
        <v>134406.89000000001</v>
      </c>
      <c r="E741" s="2">
        <v>134406.89000000001</v>
      </c>
      <c r="F741" s="1"/>
      <c r="G741"/>
      <c r="H741" s="36" t="s">
        <v>54</v>
      </c>
      <c r="I741" s="48"/>
      <c r="J741" s="48"/>
      <c r="O741"/>
    </row>
    <row r="742" spans="1:15" x14ac:dyDescent="0.25">
      <c r="A742">
        <v>1144</v>
      </c>
      <c r="D742" s="2">
        <v>69951.490000000005</v>
      </c>
      <c r="E742" s="2">
        <v>69951.490000000005</v>
      </c>
      <c r="F742" s="1"/>
      <c r="G742"/>
      <c r="H742" s="36" t="s">
        <v>54</v>
      </c>
      <c r="I742" s="48"/>
      <c r="J742" s="48"/>
      <c r="O742"/>
    </row>
    <row r="743" spans="1:15" x14ac:dyDescent="0.25">
      <c r="A743">
        <v>1145</v>
      </c>
      <c r="D743" s="2">
        <v>69951.490000000005</v>
      </c>
      <c r="E743" s="2">
        <v>69951.490000000005</v>
      </c>
      <c r="F743" s="1"/>
      <c r="G743"/>
      <c r="H743" s="36" t="s">
        <v>54</v>
      </c>
      <c r="I743" s="48"/>
      <c r="J743" s="48"/>
      <c r="O743"/>
    </row>
    <row r="744" spans="1:15" x14ac:dyDescent="0.25">
      <c r="A744">
        <v>1146</v>
      </c>
      <c r="D744" s="2">
        <v>69951.490000000005</v>
      </c>
      <c r="E744" s="2">
        <v>69951.490000000005</v>
      </c>
      <c r="F744" s="1"/>
      <c r="G744"/>
      <c r="H744" s="36" t="s">
        <v>54</v>
      </c>
      <c r="I744" s="48"/>
      <c r="J744" s="48"/>
      <c r="O744"/>
    </row>
    <row r="745" spans="1:15" x14ac:dyDescent="0.25">
      <c r="A745">
        <v>1147</v>
      </c>
      <c r="D745" s="2">
        <v>69951.490000000005</v>
      </c>
      <c r="E745" s="2">
        <v>69951.490000000005</v>
      </c>
      <c r="F745" s="1"/>
      <c r="G745"/>
      <c r="H745" s="36" t="s">
        <v>54</v>
      </c>
      <c r="I745" s="48"/>
      <c r="J745" s="48"/>
      <c r="O745"/>
    </row>
    <row r="746" spans="1:15" x14ac:dyDescent="0.25">
      <c r="A746">
        <v>1148</v>
      </c>
      <c r="D746" s="2">
        <v>69951.490000000005</v>
      </c>
      <c r="E746" s="2">
        <v>69951.490000000005</v>
      </c>
      <c r="F746" s="1"/>
      <c r="G746"/>
      <c r="H746" s="36" t="s">
        <v>54</v>
      </c>
      <c r="I746" s="48"/>
      <c r="J746" s="48"/>
      <c r="O746"/>
    </row>
    <row r="747" spans="1:15" x14ac:dyDescent="0.25">
      <c r="A747">
        <v>1149</v>
      </c>
      <c r="D747" s="2">
        <v>69951.490000000005</v>
      </c>
      <c r="E747" s="2">
        <v>69951.490000000005</v>
      </c>
      <c r="F747" s="1"/>
      <c r="G747"/>
      <c r="H747" s="36" t="s">
        <v>54</v>
      </c>
      <c r="I747" s="48"/>
      <c r="J747" s="48"/>
      <c r="O747"/>
    </row>
    <row r="748" spans="1:15" x14ac:dyDescent="0.25">
      <c r="A748">
        <v>1150</v>
      </c>
      <c r="D748" s="2">
        <v>69951.490000000005</v>
      </c>
      <c r="E748" s="2">
        <v>69951.490000000005</v>
      </c>
      <c r="F748" s="1"/>
      <c r="G748"/>
      <c r="H748" s="36" t="s">
        <v>54</v>
      </c>
      <c r="I748" s="48"/>
      <c r="J748" s="48"/>
      <c r="O748"/>
    </row>
    <row r="749" spans="1:15" x14ac:dyDescent="0.25">
      <c r="A749">
        <v>1151</v>
      </c>
      <c r="D749" s="2">
        <v>69951.490000000005</v>
      </c>
      <c r="E749" s="2">
        <v>69951.490000000005</v>
      </c>
      <c r="F749" s="1"/>
      <c r="G749"/>
      <c r="H749" s="36" t="s">
        <v>54</v>
      </c>
      <c r="I749" s="48"/>
      <c r="J749" s="48"/>
      <c r="O749"/>
    </row>
    <row r="750" spans="1:15" x14ac:dyDescent="0.25">
      <c r="A750">
        <v>1152</v>
      </c>
      <c r="D750" s="2">
        <v>69951.490000000005</v>
      </c>
      <c r="E750" s="2">
        <v>69951.490000000005</v>
      </c>
      <c r="F750" s="1"/>
      <c r="G750"/>
      <c r="H750" s="36" t="s">
        <v>54</v>
      </c>
      <c r="I750" s="48"/>
      <c r="J750" s="48"/>
      <c r="O750"/>
    </row>
    <row r="751" spans="1:15" x14ac:dyDescent="0.25">
      <c r="A751">
        <v>1153</v>
      </c>
      <c r="D751" s="2">
        <v>69951.490000000005</v>
      </c>
      <c r="E751" s="2">
        <v>69951.490000000005</v>
      </c>
      <c r="F751" s="1"/>
      <c r="G751"/>
      <c r="H751" s="36" t="s">
        <v>54</v>
      </c>
      <c r="I751" s="48"/>
      <c r="J751" s="48"/>
      <c r="O751"/>
    </row>
    <row r="752" spans="1:15" x14ac:dyDescent="0.25">
      <c r="A752">
        <v>1154</v>
      </c>
      <c r="D752" s="2">
        <v>69951.490000000005</v>
      </c>
      <c r="E752" s="2">
        <v>69951.490000000005</v>
      </c>
      <c r="F752" s="1"/>
      <c r="G752"/>
      <c r="H752" s="36" t="s">
        <v>54</v>
      </c>
      <c r="I752" s="48"/>
      <c r="J752" s="48"/>
      <c r="O752"/>
    </row>
    <row r="753" spans="1:15" x14ac:dyDescent="0.25">
      <c r="A753">
        <v>1155</v>
      </c>
      <c r="D753" s="2">
        <v>69951.490000000005</v>
      </c>
      <c r="E753" s="2">
        <v>69951.490000000005</v>
      </c>
      <c r="F753" s="1"/>
      <c r="G753"/>
      <c r="H753" s="36" t="s">
        <v>54</v>
      </c>
      <c r="I753" s="48"/>
      <c r="J753" s="48"/>
      <c r="O753"/>
    </row>
    <row r="754" spans="1:15" x14ac:dyDescent="0.25">
      <c r="A754">
        <v>1156</v>
      </c>
      <c r="D754" s="2">
        <v>69951.490000000005</v>
      </c>
      <c r="E754" s="2">
        <v>69951.490000000005</v>
      </c>
      <c r="F754" s="1"/>
      <c r="G754"/>
      <c r="H754" s="36" t="s">
        <v>54</v>
      </c>
      <c r="I754" s="48"/>
      <c r="J754" s="48"/>
      <c r="O754"/>
    </row>
    <row r="755" spans="1:15" x14ac:dyDescent="0.25">
      <c r="A755">
        <v>1157</v>
      </c>
      <c r="D755" s="2">
        <v>69951.490000000005</v>
      </c>
      <c r="E755" s="2">
        <v>69951.490000000005</v>
      </c>
      <c r="F755" s="1"/>
      <c r="G755"/>
      <c r="H755" s="36" t="s">
        <v>54</v>
      </c>
      <c r="I755" s="48"/>
      <c r="J755" s="48"/>
      <c r="O755"/>
    </row>
    <row r="756" spans="1:15" x14ac:dyDescent="0.25">
      <c r="A756">
        <v>1158</v>
      </c>
      <c r="D756" s="2">
        <v>69951.490000000005</v>
      </c>
      <c r="E756" s="2">
        <v>69951.490000000005</v>
      </c>
      <c r="F756" s="1"/>
      <c r="G756"/>
      <c r="H756" s="36" t="s">
        <v>54</v>
      </c>
      <c r="I756" s="48"/>
      <c r="J756" s="48"/>
      <c r="O756"/>
    </row>
    <row r="757" spans="1:15" x14ac:dyDescent="0.25">
      <c r="A757">
        <v>1159</v>
      </c>
      <c r="D757" s="2"/>
      <c r="F757" s="1"/>
      <c r="G757"/>
      <c r="H757" s="36"/>
      <c r="I757" s="48"/>
      <c r="J757" s="48"/>
      <c r="O757"/>
    </row>
    <row r="758" spans="1:15" x14ac:dyDescent="0.25">
      <c r="A758">
        <v>1160</v>
      </c>
      <c r="D758" s="2"/>
      <c r="F758" s="1"/>
      <c r="G758"/>
      <c r="H758" s="36"/>
      <c r="I758" s="48"/>
      <c r="J758" s="48"/>
      <c r="O758"/>
    </row>
    <row r="759" spans="1:15" x14ac:dyDescent="0.25">
      <c r="A759">
        <v>1161</v>
      </c>
      <c r="D759" s="2">
        <v>38538.85</v>
      </c>
      <c r="E759" s="2">
        <v>38538.85</v>
      </c>
      <c r="F759" s="1"/>
      <c r="G759"/>
      <c r="H759" s="36" t="s">
        <v>54</v>
      </c>
      <c r="I759" s="48"/>
      <c r="J759" s="48"/>
      <c r="O759"/>
    </row>
    <row r="760" spans="1:15" x14ac:dyDescent="0.25">
      <c r="A760">
        <v>1162</v>
      </c>
      <c r="D760" s="2">
        <v>38538.85</v>
      </c>
      <c r="E760" s="2">
        <v>38538.85</v>
      </c>
      <c r="F760" s="1"/>
      <c r="G760"/>
      <c r="H760" s="36" t="s">
        <v>54</v>
      </c>
      <c r="I760" s="48"/>
      <c r="J760" s="48"/>
      <c r="O760"/>
    </row>
    <row r="761" spans="1:15" x14ac:dyDescent="0.25">
      <c r="A761">
        <v>1163</v>
      </c>
      <c r="D761" s="2">
        <v>38538.85</v>
      </c>
      <c r="E761" s="2">
        <v>38538.85</v>
      </c>
      <c r="F761" s="1"/>
      <c r="G761"/>
      <c r="H761" s="36" t="s">
        <v>54</v>
      </c>
      <c r="I761" s="48"/>
      <c r="J761" s="48"/>
      <c r="O761"/>
    </row>
    <row r="762" spans="1:15" x14ac:dyDescent="0.25">
      <c r="A762">
        <v>1164</v>
      </c>
      <c r="D762" s="2">
        <v>38538.85</v>
      </c>
      <c r="E762" s="2">
        <v>38538.85</v>
      </c>
      <c r="F762" s="1"/>
      <c r="G762"/>
      <c r="H762" s="36" t="s">
        <v>54</v>
      </c>
      <c r="I762" s="48"/>
      <c r="J762" s="48"/>
      <c r="O762"/>
    </row>
    <row r="763" spans="1:15" x14ac:dyDescent="0.25">
      <c r="A763">
        <v>1165</v>
      </c>
      <c r="D763" s="2">
        <v>137634.57999999999</v>
      </c>
      <c r="E763" s="2">
        <v>137634.57999999999</v>
      </c>
      <c r="F763" s="1"/>
      <c r="G763"/>
      <c r="H763" s="36" t="s">
        <v>56</v>
      </c>
      <c r="I763" s="48"/>
      <c r="J763" s="48"/>
      <c r="O763"/>
    </row>
    <row r="764" spans="1:15" x14ac:dyDescent="0.25">
      <c r="A764">
        <v>1166</v>
      </c>
      <c r="D764" s="2">
        <v>137634.57999999999</v>
      </c>
      <c r="E764" s="2">
        <v>137634.57999999999</v>
      </c>
      <c r="F764" s="1"/>
      <c r="G764"/>
      <c r="H764" s="36" t="s">
        <v>56</v>
      </c>
      <c r="I764" s="48"/>
      <c r="J764" s="48"/>
      <c r="O764"/>
    </row>
    <row r="765" spans="1:15" x14ac:dyDescent="0.25">
      <c r="A765">
        <v>1167</v>
      </c>
      <c r="D765" s="2">
        <v>137634.57999999999</v>
      </c>
      <c r="E765" s="2">
        <v>137634.57999999999</v>
      </c>
      <c r="F765" s="1"/>
      <c r="G765"/>
      <c r="H765" s="36" t="s">
        <v>56</v>
      </c>
      <c r="I765" s="48"/>
      <c r="J765" s="48"/>
      <c r="O765"/>
    </row>
    <row r="766" spans="1:15" x14ac:dyDescent="0.25">
      <c r="A766">
        <v>1168</v>
      </c>
      <c r="D766" s="2">
        <v>137634.57999999999</v>
      </c>
      <c r="E766" s="2">
        <v>137634.57999999999</v>
      </c>
      <c r="F766" s="1"/>
      <c r="G766"/>
      <c r="H766" s="36" t="s">
        <v>56</v>
      </c>
      <c r="I766" s="48"/>
      <c r="J766" s="48"/>
      <c r="O766"/>
    </row>
    <row r="767" spans="1:15" x14ac:dyDescent="0.25">
      <c r="A767">
        <v>1169</v>
      </c>
      <c r="D767" s="2">
        <v>96156.49</v>
      </c>
      <c r="E767" s="2">
        <v>96156.49</v>
      </c>
      <c r="F767" s="1"/>
      <c r="G767"/>
      <c r="H767" s="36" t="s">
        <v>56</v>
      </c>
      <c r="I767" s="48"/>
      <c r="J767" s="48"/>
      <c r="O767"/>
    </row>
    <row r="768" spans="1:15" x14ac:dyDescent="0.25">
      <c r="A768">
        <v>1170</v>
      </c>
      <c r="D768" s="2">
        <v>96156.49</v>
      </c>
      <c r="E768" s="2">
        <v>96156.49</v>
      </c>
      <c r="F768" s="1"/>
      <c r="G768"/>
      <c r="H768" s="36" t="s">
        <v>56</v>
      </c>
      <c r="I768" s="48"/>
      <c r="J768" s="48"/>
      <c r="O768"/>
    </row>
    <row r="769" spans="1:15" x14ac:dyDescent="0.25">
      <c r="A769">
        <v>1171</v>
      </c>
      <c r="D769" s="2">
        <v>96156.49</v>
      </c>
      <c r="E769" s="2">
        <v>96156.49</v>
      </c>
      <c r="F769" s="1"/>
      <c r="G769"/>
      <c r="H769" s="36" t="s">
        <v>56</v>
      </c>
      <c r="I769" s="48"/>
      <c r="J769" s="48"/>
      <c r="O769"/>
    </row>
    <row r="770" spans="1:15" x14ac:dyDescent="0.25">
      <c r="A770">
        <v>1172</v>
      </c>
      <c r="D770" s="2">
        <v>96156.49</v>
      </c>
      <c r="E770" s="2">
        <v>96156.49</v>
      </c>
      <c r="F770" s="1"/>
      <c r="G770"/>
      <c r="H770" s="36" t="s">
        <v>56</v>
      </c>
      <c r="I770" s="48"/>
      <c r="J770" s="48"/>
      <c r="O770"/>
    </row>
    <row r="771" spans="1:15" x14ac:dyDescent="0.25">
      <c r="A771">
        <v>1173</v>
      </c>
      <c r="D771" s="2">
        <v>69951.490000000005</v>
      </c>
      <c r="E771" s="2">
        <v>69951.490000000005</v>
      </c>
      <c r="F771" s="1"/>
      <c r="G771"/>
      <c r="H771" s="36" t="s">
        <v>54</v>
      </c>
      <c r="I771" s="48"/>
      <c r="J771" s="48"/>
      <c r="O771"/>
    </row>
    <row r="772" spans="1:15" x14ac:dyDescent="0.25">
      <c r="A772">
        <v>1174</v>
      </c>
      <c r="D772" s="2">
        <v>69951.490000000005</v>
      </c>
      <c r="E772" s="2">
        <v>69951.490000000005</v>
      </c>
      <c r="F772" s="1"/>
      <c r="G772"/>
      <c r="H772" s="36" t="s">
        <v>54</v>
      </c>
      <c r="I772" s="48"/>
      <c r="J772" s="48"/>
      <c r="O772"/>
    </row>
    <row r="773" spans="1:15" x14ac:dyDescent="0.25">
      <c r="A773">
        <v>1175</v>
      </c>
      <c r="D773" s="2">
        <v>69951.490000000005</v>
      </c>
      <c r="E773" s="2">
        <v>69951.490000000005</v>
      </c>
      <c r="F773" s="1"/>
      <c r="G773"/>
      <c r="H773" s="36" t="s">
        <v>54</v>
      </c>
      <c r="I773" s="48"/>
      <c r="J773" s="48"/>
      <c r="O773"/>
    </row>
    <row r="774" spans="1:15" x14ac:dyDescent="0.25">
      <c r="A774">
        <v>1176</v>
      </c>
      <c r="D774" s="2">
        <v>3456725.3</v>
      </c>
      <c r="E774" s="2">
        <v>3456725.3</v>
      </c>
      <c r="F774" s="1"/>
      <c r="G774"/>
      <c r="H774" s="36" t="s">
        <v>125</v>
      </c>
      <c r="I774" s="48"/>
      <c r="J774" s="48"/>
      <c r="O774"/>
    </row>
    <row r="775" spans="1:15" x14ac:dyDescent="0.25">
      <c r="A775">
        <v>1177</v>
      </c>
      <c r="D775" s="2">
        <v>5185087.96</v>
      </c>
      <c r="E775" s="2">
        <v>5185087.96</v>
      </c>
      <c r="F775" s="1"/>
      <c r="G775"/>
      <c r="H775" s="36" t="s">
        <v>125</v>
      </c>
      <c r="I775" s="48"/>
      <c r="J775" s="48"/>
      <c r="O775"/>
    </row>
    <row r="776" spans="1:15" x14ac:dyDescent="0.25">
      <c r="A776">
        <v>1178</v>
      </c>
      <c r="D776" s="2">
        <v>171084.85</v>
      </c>
      <c r="E776" s="2">
        <v>171084.85</v>
      </c>
      <c r="F776" s="1"/>
      <c r="G776"/>
      <c r="H776" s="36" t="s">
        <v>56</v>
      </c>
      <c r="I776" s="48"/>
      <c r="J776" s="48"/>
      <c r="O776"/>
    </row>
    <row r="777" spans="1:15" x14ac:dyDescent="0.25">
      <c r="A777">
        <v>1179</v>
      </c>
      <c r="D777" s="2">
        <v>145055.84</v>
      </c>
      <c r="E777" s="2">
        <v>145055.84</v>
      </c>
      <c r="F777" s="1"/>
      <c r="G777"/>
      <c r="H777" s="36" t="s">
        <v>56</v>
      </c>
      <c r="I777" s="48"/>
      <c r="J777" s="48"/>
      <c r="O777"/>
    </row>
    <row r="778" spans="1:15" x14ac:dyDescent="0.25">
      <c r="A778">
        <v>12</v>
      </c>
      <c r="D778" s="2">
        <v>27705.620000000003</v>
      </c>
      <c r="E778" s="2">
        <v>27705.620000000003</v>
      </c>
      <c r="F778" s="1"/>
      <c r="G778"/>
      <c r="H778" s="36" t="s">
        <v>55</v>
      </c>
      <c r="I778" s="48"/>
      <c r="J778" s="48"/>
      <c r="O778"/>
    </row>
    <row r="779" spans="1:15" x14ac:dyDescent="0.25">
      <c r="A779">
        <v>121</v>
      </c>
      <c r="D779" s="2">
        <v>83629.33</v>
      </c>
      <c r="E779" s="2">
        <v>83629.33</v>
      </c>
      <c r="F779" s="1"/>
      <c r="G779"/>
      <c r="H779" s="36" t="s">
        <v>68</v>
      </c>
      <c r="I779" s="48"/>
      <c r="J779" s="48"/>
      <c r="O779"/>
    </row>
    <row r="780" spans="1:15" x14ac:dyDescent="0.25">
      <c r="A780">
        <v>123</v>
      </c>
      <c r="D780" s="2">
        <v>136786.63</v>
      </c>
      <c r="E780" s="2">
        <v>136786.63</v>
      </c>
      <c r="F780" s="1"/>
      <c r="G780"/>
      <c r="H780" s="36" t="s">
        <v>54</v>
      </c>
      <c r="I780" s="48"/>
      <c r="J780" s="48"/>
      <c r="O780"/>
    </row>
    <row r="781" spans="1:15" x14ac:dyDescent="0.25">
      <c r="A781">
        <v>124</v>
      </c>
      <c r="D781" s="2">
        <v>47335.32</v>
      </c>
      <c r="E781" s="2">
        <v>47335.32</v>
      </c>
      <c r="F781" s="1"/>
      <c r="G781"/>
      <c r="H781" s="36" t="s">
        <v>58</v>
      </c>
      <c r="I781" s="48"/>
      <c r="J781" s="48"/>
      <c r="O781"/>
    </row>
    <row r="782" spans="1:15" x14ac:dyDescent="0.25">
      <c r="A782">
        <v>125</v>
      </c>
      <c r="D782" s="2">
        <v>90813.45</v>
      </c>
      <c r="E782" s="2">
        <v>90813.45</v>
      </c>
      <c r="F782" s="1"/>
      <c r="G782"/>
      <c r="H782" s="36" t="s">
        <v>58</v>
      </c>
      <c r="I782" s="48"/>
      <c r="J782" s="48"/>
      <c r="O782"/>
    </row>
    <row r="783" spans="1:15" x14ac:dyDescent="0.25">
      <c r="A783">
        <v>126</v>
      </c>
      <c r="D783" s="2">
        <v>177117.83</v>
      </c>
      <c r="E783" s="2">
        <v>177117.83</v>
      </c>
      <c r="F783" s="1"/>
      <c r="G783"/>
      <c r="H783" s="36" t="s">
        <v>89</v>
      </c>
      <c r="I783" s="48"/>
      <c r="J783" s="48"/>
      <c r="O783"/>
    </row>
    <row r="784" spans="1:15" x14ac:dyDescent="0.25">
      <c r="A784">
        <v>127</v>
      </c>
      <c r="D784" s="2">
        <v>47335.32</v>
      </c>
      <c r="E784" s="2">
        <v>47335.32</v>
      </c>
      <c r="F784" s="1"/>
      <c r="G784"/>
      <c r="H784" s="36" t="s">
        <v>58</v>
      </c>
      <c r="I784" s="48"/>
      <c r="J784" s="48"/>
      <c r="O784"/>
    </row>
    <row r="785" spans="1:15" x14ac:dyDescent="0.25">
      <c r="A785">
        <v>128</v>
      </c>
      <c r="D785" s="2">
        <v>142706.85</v>
      </c>
      <c r="E785" s="2">
        <v>142706.85</v>
      </c>
      <c r="F785" s="1"/>
      <c r="G785"/>
      <c r="H785" s="36" t="s">
        <v>58</v>
      </c>
      <c r="I785" s="48"/>
      <c r="J785" s="48"/>
      <c r="O785"/>
    </row>
    <row r="786" spans="1:15" x14ac:dyDescent="0.25">
      <c r="A786">
        <v>129</v>
      </c>
      <c r="D786" s="2">
        <v>86256.430000000008</v>
      </c>
      <c r="E786" s="2">
        <v>86256.430000000008</v>
      </c>
      <c r="F786" s="1"/>
      <c r="G786"/>
      <c r="H786" s="36" t="s">
        <v>56</v>
      </c>
      <c r="I786" s="48"/>
      <c r="J786" s="48"/>
      <c r="O786"/>
    </row>
    <row r="787" spans="1:15" x14ac:dyDescent="0.25">
      <c r="A787">
        <v>13</v>
      </c>
      <c r="D787" s="2">
        <v>34580.86</v>
      </c>
      <c r="E787" s="2">
        <v>34580.86</v>
      </c>
      <c r="F787" s="1"/>
      <c r="G787"/>
      <c r="H787" s="36" t="s">
        <v>55</v>
      </c>
      <c r="I787" s="48"/>
      <c r="J787" s="48"/>
      <c r="O787"/>
    </row>
    <row r="788" spans="1:15" x14ac:dyDescent="0.25">
      <c r="A788">
        <v>130</v>
      </c>
      <c r="D788" s="2">
        <v>251687.39</v>
      </c>
      <c r="E788" s="2">
        <v>251687.39</v>
      </c>
      <c r="F788" s="1"/>
      <c r="G788"/>
      <c r="H788" s="36" t="s">
        <v>54</v>
      </c>
      <c r="I788" s="48"/>
      <c r="J788" s="48"/>
      <c r="O788"/>
    </row>
    <row r="789" spans="1:15" x14ac:dyDescent="0.25">
      <c r="A789">
        <v>131</v>
      </c>
      <c r="D789" s="2">
        <v>125843.70000000001</v>
      </c>
      <c r="E789" s="2">
        <v>125843.70000000001</v>
      </c>
      <c r="F789" s="1"/>
      <c r="G789"/>
      <c r="H789" s="36" t="s">
        <v>54</v>
      </c>
      <c r="I789" s="48"/>
      <c r="J789" s="48"/>
      <c r="O789"/>
    </row>
    <row r="790" spans="1:15" x14ac:dyDescent="0.25">
      <c r="A790">
        <v>134</v>
      </c>
      <c r="D790" s="2">
        <v>84193.22</v>
      </c>
      <c r="E790" s="2">
        <v>84193.22</v>
      </c>
      <c r="F790" s="1"/>
      <c r="G790"/>
      <c r="H790" s="36" t="s">
        <v>56</v>
      </c>
      <c r="I790" s="48"/>
      <c r="J790" s="48"/>
      <c r="O790"/>
    </row>
    <row r="791" spans="1:15" x14ac:dyDescent="0.25">
      <c r="A791">
        <v>135</v>
      </c>
      <c r="D791" s="2">
        <v>12027.6</v>
      </c>
      <c r="E791" s="2">
        <v>12027.6</v>
      </c>
      <c r="F791" s="1"/>
      <c r="G791"/>
      <c r="H791" s="36" t="s">
        <v>56</v>
      </c>
      <c r="I791" s="48"/>
      <c r="J791" s="48"/>
      <c r="O791"/>
    </row>
    <row r="792" spans="1:15" x14ac:dyDescent="0.25">
      <c r="A792">
        <v>136</v>
      </c>
      <c r="D792" s="2">
        <v>12027.6</v>
      </c>
      <c r="E792" s="2">
        <v>12027.6</v>
      </c>
      <c r="F792" s="1"/>
      <c r="G792"/>
      <c r="H792" s="36" t="s">
        <v>56</v>
      </c>
      <c r="I792" s="48"/>
      <c r="J792" s="48"/>
      <c r="O792"/>
    </row>
    <row r="793" spans="1:15" x14ac:dyDescent="0.25">
      <c r="A793">
        <v>137</v>
      </c>
      <c r="D793" s="2">
        <v>12027.6</v>
      </c>
      <c r="E793" s="2">
        <v>12027.6</v>
      </c>
      <c r="F793" s="1"/>
      <c r="G793"/>
      <c r="H793" s="36" t="s">
        <v>56</v>
      </c>
      <c r="I793" s="48"/>
      <c r="J793" s="48"/>
      <c r="O793"/>
    </row>
    <row r="794" spans="1:15" x14ac:dyDescent="0.25">
      <c r="A794">
        <v>138</v>
      </c>
      <c r="D794" s="2">
        <v>12027.6</v>
      </c>
      <c r="E794" s="2">
        <v>12027.6</v>
      </c>
      <c r="F794" s="1"/>
      <c r="G794"/>
      <c r="H794" s="36" t="s">
        <v>56</v>
      </c>
      <c r="I794" s="48"/>
      <c r="J794" s="48"/>
      <c r="O794"/>
    </row>
    <row r="795" spans="1:15" x14ac:dyDescent="0.25">
      <c r="A795">
        <v>139</v>
      </c>
      <c r="D795" s="2">
        <v>12027.6</v>
      </c>
      <c r="E795" s="2">
        <v>12027.6</v>
      </c>
      <c r="F795" s="1"/>
      <c r="G795"/>
      <c r="H795" s="36" t="s">
        <v>56</v>
      </c>
      <c r="I795" s="48"/>
      <c r="J795" s="48"/>
      <c r="O795"/>
    </row>
    <row r="796" spans="1:15" x14ac:dyDescent="0.25">
      <c r="A796">
        <v>14</v>
      </c>
      <c r="D796" s="2">
        <v>34580.86</v>
      </c>
      <c r="E796" s="2">
        <v>34580.86</v>
      </c>
      <c r="F796" s="1"/>
      <c r="G796"/>
      <c r="H796" s="36" t="s">
        <v>55</v>
      </c>
      <c r="I796" s="48"/>
      <c r="J796" s="48"/>
      <c r="O796"/>
    </row>
    <row r="797" spans="1:15" x14ac:dyDescent="0.25">
      <c r="A797">
        <v>140</v>
      </c>
      <c r="D797" s="2">
        <v>12027.6</v>
      </c>
      <c r="E797" s="2">
        <v>12027.6</v>
      </c>
      <c r="F797" s="1"/>
      <c r="G797"/>
      <c r="H797" s="36" t="s">
        <v>56</v>
      </c>
      <c r="I797" s="48"/>
      <c r="J797" s="48"/>
      <c r="O797"/>
    </row>
    <row r="798" spans="1:15" x14ac:dyDescent="0.25">
      <c r="A798">
        <v>141</v>
      </c>
      <c r="D798" s="2">
        <v>128411.88</v>
      </c>
      <c r="E798" s="2">
        <v>128411.88</v>
      </c>
      <c r="F798" s="1"/>
      <c r="G798"/>
      <c r="H798" s="36" t="s">
        <v>54</v>
      </c>
      <c r="I798" s="48"/>
      <c r="J798" s="48"/>
      <c r="O798"/>
    </row>
    <row r="799" spans="1:15" x14ac:dyDescent="0.25">
      <c r="A799">
        <v>144</v>
      </c>
      <c r="D799" s="2">
        <v>120745.5</v>
      </c>
      <c r="E799" s="2">
        <v>120745.5</v>
      </c>
      <c r="F799" s="1"/>
      <c r="G799"/>
      <c r="H799" s="36" t="s">
        <v>55</v>
      </c>
      <c r="I799" s="48"/>
      <c r="J799" s="48"/>
      <c r="O799"/>
    </row>
    <row r="800" spans="1:15" x14ac:dyDescent="0.25">
      <c r="A800">
        <v>145</v>
      </c>
      <c r="D800" s="2">
        <v>120745.5</v>
      </c>
      <c r="E800" s="2">
        <v>120745.5</v>
      </c>
      <c r="F800" s="1"/>
      <c r="G800"/>
      <c r="H800" s="36" t="s">
        <v>55</v>
      </c>
      <c r="I800" s="48"/>
      <c r="J800" s="48"/>
      <c r="O800"/>
    </row>
    <row r="801" spans="1:15" x14ac:dyDescent="0.25">
      <c r="A801">
        <v>146</v>
      </c>
      <c r="D801" s="2">
        <v>120745.5</v>
      </c>
      <c r="E801" s="2">
        <v>120745.5</v>
      </c>
      <c r="F801" s="1"/>
      <c r="G801"/>
      <c r="H801" s="36" t="s">
        <v>55</v>
      </c>
      <c r="I801" s="48"/>
      <c r="J801" s="48"/>
      <c r="O801"/>
    </row>
    <row r="802" spans="1:15" x14ac:dyDescent="0.25">
      <c r="A802">
        <v>147</v>
      </c>
      <c r="D802" s="2">
        <v>120745.56</v>
      </c>
      <c r="E802" s="2">
        <v>120745.56</v>
      </c>
      <c r="F802" s="1"/>
      <c r="G802"/>
      <c r="H802" s="36" t="s">
        <v>55</v>
      </c>
      <c r="I802" s="48"/>
      <c r="J802" s="48"/>
      <c r="O802"/>
    </row>
    <row r="803" spans="1:15" x14ac:dyDescent="0.25">
      <c r="A803">
        <v>148</v>
      </c>
      <c r="D803" s="2">
        <v>12027.6</v>
      </c>
      <c r="E803" s="2">
        <v>12027.6</v>
      </c>
      <c r="F803" s="1"/>
      <c r="G803"/>
      <c r="H803" s="36" t="s">
        <v>56</v>
      </c>
      <c r="I803" s="48"/>
      <c r="J803" s="48"/>
      <c r="O803"/>
    </row>
    <row r="804" spans="1:15" x14ac:dyDescent="0.25">
      <c r="A804">
        <v>149</v>
      </c>
      <c r="D804" s="2">
        <v>12027.6</v>
      </c>
      <c r="E804" s="2">
        <v>12027.6</v>
      </c>
      <c r="F804" s="1"/>
      <c r="G804"/>
      <c r="H804" s="36" t="s">
        <v>56</v>
      </c>
      <c r="I804" s="48"/>
      <c r="J804" s="48"/>
      <c r="O804"/>
    </row>
    <row r="805" spans="1:15" x14ac:dyDescent="0.25">
      <c r="A805">
        <v>15</v>
      </c>
      <c r="D805" s="2">
        <v>34580.86</v>
      </c>
      <c r="E805" s="2">
        <v>34580.86</v>
      </c>
      <c r="F805" s="1"/>
      <c r="G805"/>
      <c r="H805" s="36" t="s">
        <v>55</v>
      </c>
      <c r="I805" s="48"/>
      <c r="J805" s="48"/>
      <c r="O805"/>
    </row>
    <row r="806" spans="1:15" x14ac:dyDescent="0.25">
      <c r="A806">
        <v>150</v>
      </c>
      <c r="D806" s="2">
        <v>5600</v>
      </c>
      <c r="E806" s="2">
        <v>5600</v>
      </c>
      <c r="F806" s="1"/>
      <c r="G806"/>
      <c r="H806" s="36" t="s">
        <v>62</v>
      </c>
      <c r="I806" s="48"/>
      <c r="J806" s="48"/>
      <c r="M806" s="2"/>
      <c r="O806"/>
    </row>
    <row r="807" spans="1:15" x14ac:dyDescent="0.25">
      <c r="A807">
        <v>151</v>
      </c>
      <c r="D807" s="2">
        <v>1050</v>
      </c>
      <c r="E807" s="2">
        <v>1050</v>
      </c>
      <c r="F807" s="1"/>
      <c r="G807"/>
      <c r="H807" s="36" t="s">
        <v>60</v>
      </c>
      <c r="I807" s="48"/>
      <c r="J807" s="48"/>
      <c r="M807" s="2"/>
      <c r="O807"/>
    </row>
    <row r="808" spans="1:15" x14ac:dyDescent="0.25">
      <c r="A808">
        <v>153</v>
      </c>
      <c r="D808" s="2">
        <v>436751.74</v>
      </c>
      <c r="E808" s="2">
        <v>436751.74</v>
      </c>
      <c r="F808" s="1"/>
      <c r="G808"/>
      <c r="H808" s="36" t="s">
        <v>56</v>
      </c>
      <c r="I808" s="48"/>
      <c r="J808" s="48"/>
      <c r="M808" s="2"/>
      <c r="O808"/>
    </row>
    <row r="809" spans="1:15" x14ac:dyDescent="0.25">
      <c r="A809">
        <v>16</v>
      </c>
      <c r="D809" s="2">
        <v>78504.03</v>
      </c>
      <c r="E809" s="2">
        <v>78504.03</v>
      </c>
      <c r="F809" s="1"/>
      <c r="G809"/>
      <c r="H809" s="36" t="s">
        <v>55</v>
      </c>
      <c r="I809" s="48"/>
      <c r="J809" s="48"/>
      <c r="M809" s="2"/>
      <c r="O809"/>
    </row>
    <row r="810" spans="1:15" x14ac:dyDescent="0.25">
      <c r="A810">
        <v>17</v>
      </c>
      <c r="D810" s="2">
        <v>85980.6</v>
      </c>
      <c r="E810" s="2">
        <v>85980.6</v>
      </c>
      <c r="F810" s="1"/>
      <c r="G810"/>
      <c r="H810" s="36" t="s">
        <v>55</v>
      </c>
      <c r="I810" s="48"/>
      <c r="J810" s="48"/>
      <c r="M810" s="2"/>
      <c r="O810"/>
    </row>
    <row r="811" spans="1:15" x14ac:dyDescent="0.25">
      <c r="A811">
        <v>176</v>
      </c>
      <c r="D811" s="2">
        <v>58351.53</v>
      </c>
      <c r="E811" s="2">
        <v>58351.53</v>
      </c>
      <c r="F811" s="1"/>
      <c r="G811"/>
      <c r="H811" s="36" t="s">
        <v>56</v>
      </c>
      <c r="I811" s="48"/>
      <c r="J811" s="48"/>
      <c r="M811" s="2"/>
      <c r="O811"/>
    </row>
    <row r="812" spans="1:15" x14ac:dyDescent="0.25">
      <c r="A812">
        <v>18</v>
      </c>
      <c r="D812" s="2">
        <v>78504.03</v>
      </c>
      <c r="E812" s="2">
        <v>78504.03</v>
      </c>
      <c r="F812" s="1"/>
      <c r="G812"/>
      <c r="H812" s="36" t="s">
        <v>55</v>
      </c>
      <c r="I812" s="48"/>
      <c r="J812" s="48"/>
      <c r="M812" s="2"/>
      <c r="O812"/>
    </row>
    <row r="813" spans="1:15" x14ac:dyDescent="0.25">
      <c r="A813">
        <v>19</v>
      </c>
      <c r="D813" s="2">
        <v>78504.03</v>
      </c>
      <c r="E813" s="2">
        <v>78504.03</v>
      </c>
      <c r="F813" s="1"/>
      <c r="G813"/>
      <c r="H813" s="36" t="s">
        <v>55</v>
      </c>
      <c r="I813" s="48"/>
      <c r="J813" s="48"/>
      <c r="M813" s="2"/>
      <c r="O813"/>
    </row>
    <row r="814" spans="1:15" x14ac:dyDescent="0.25">
      <c r="A814">
        <v>195</v>
      </c>
      <c r="D814" s="2">
        <v>12973.35</v>
      </c>
      <c r="E814" s="2">
        <v>12973.35</v>
      </c>
      <c r="F814" s="1"/>
      <c r="G814"/>
      <c r="H814" s="36" t="s">
        <v>58</v>
      </c>
      <c r="I814" s="48"/>
      <c r="J814" s="48"/>
      <c r="M814" s="2"/>
      <c r="O814"/>
    </row>
    <row r="815" spans="1:15" x14ac:dyDescent="0.25">
      <c r="A815">
        <v>196</v>
      </c>
      <c r="D815" s="2">
        <v>140845.85999999999</v>
      </c>
      <c r="E815" s="2">
        <v>140845.85999999999</v>
      </c>
      <c r="F815" s="1"/>
      <c r="G815"/>
      <c r="H815" s="36" t="s">
        <v>54</v>
      </c>
      <c r="I815" s="48"/>
      <c r="J815" s="48"/>
      <c r="M815" s="2"/>
      <c r="O815"/>
    </row>
    <row r="816" spans="1:15" x14ac:dyDescent="0.25">
      <c r="A816">
        <v>197</v>
      </c>
      <c r="D816" s="2">
        <v>140845.85999999999</v>
      </c>
      <c r="E816" s="2">
        <v>140845.85999999999</v>
      </c>
      <c r="F816" s="1"/>
      <c r="G816"/>
      <c r="H816" s="36" t="s">
        <v>54</v>
      </c>
      <c r="I816" s="48"/>
      <c r="J816" s="48"/>
      <c r="M816" s="2"/>
      <c r="O816"/>
    </row>
    <row r="817" spans="1:15" x14ac:dyDescent="0.25">
      <c r="A817">
        <v>198</v>
      </c>
      <c r="D817" s="2">
        <v>140845.85999999999</v>
      </c>
      <c r="E817" s="2">
        <v>140845.85999999999</v>
      </c>
      <c r="F817" s="1"/>
      <c r="G817"/>
      <c r="H817" s="36" t="s">
        <v>54</v>
      </c>
      <c r="I817" s="48"/>
      <c r="J817" s="48"/>
      <c r="M817" s="2"/>
      <c r="O817"/>
    </row>
    <row r="818" spans="1:15" x14ac:dyDescent="0.25">
      <c r="A818">
        <v>2</v>
      </c>
      <c r="D818" s="2">
        <v>325758.76</v>
      </c>
      <c r="E818" s="2">
        <v>325758.76</v>
      </c>
      <c r="F818" s="1"/>
      <c r="G818"/>
      <c r="H818" s="36" t="s">
        <v>56</v>
      </c>
      <c r="I818" s="48"/>
      <c r="J818" s="48"/>
      <c r="M818" s="2"/>
      <c r="O818"/>
    </row>
    <row r="819" spans="1:15" x14ac:dyDescent="0.25">
      <c r="A819">
        <v>20</v>
      </c>
      <c r="D819" s="2">
        <v>78504.03</v>
      </c>
      <c r="E819" s="2">
        <v>78504.03</v>
      </c>
      <c r="F819" s="1"/>
      <c r="G819"/>
      <c r="H819" s="36" t="s">
        <v>55</v>
      </c>
      <c r="I819" s="48"/>
      <c r="J819" s="48"/>
      <c r="M819" s="2"/>
      <c r="O819"/>
    </row>
    <row r="820" spans="1:15" x14ac:dyDescent="0.25">
      <c r="A820">
        <v>21</v>
      </c>
      <c r="D820" s="2">
        <v>43818.920000000006</v>
      </c>
      <c r="E820" s="2">
        <v>43818.920000000006</v>
      </c>
      <c r="F820" s="1"/>
      <c r="G820"/>
      <c r="H820" s="36" t="s">
        <v>54</v>
      </c>
      <c r="I820" s="48"/>
      <c r="J820" s="48"/>
      <c r="M820" s="2"/>
      <c r="O820"/>
    </row>
    <row r="821" spans="1:15" x14ac:dyDescent="0.25">
      <c r="A821">
        <v>219</v>
      </c>
      <c r="D821" s="2">
        <v>14400</v>
      </c>
      <c r="E821" s="2">
        <v>14400</v>
      </c>
      <c r="F821" s="1"/>
      <c r="G821"/>
      <c r="H821" s="36" t="s">
        <v>58</v>
      </c>
      <c r="I821" s="48"/>
      <c r="J821" s="48"/>
      <c r="M821" s="2"/>
      <c r="O821"/>
    </row>
    <row r="822" spans="1:15" x14ac:dyDescent="0.25">
      <c r="A822">
        <v>22</v>
      </c>
      <c r="D822" s="2">
        <v>43818.920000000006</v>
      </c>
      <c r="E822" s="2">
        <v>43818.920000000006</v>
      </c>
      <c r="F822" s="1"/>
      <c r="G822"/>
      <c r="H822" s="36" t="s">
        <v>54</v>
      </c>
      <c r="I822" s="48"/>
      <c r="J822" s="48"/>
      <c r="M822" s="2"/>
      <c r="O822"/>
    </row>
    <row r="823" spans="1:15" x14ac:dyDescent="0.25">
      <c r="A823">
        <v>220</v>
      </c>
      <c r="D823" s="2">
        <v>4358.92</v>
      </c>
      <c r="E823" s="2">
        <v>4358.92</v>
      </c>
      <c r="F823" s="1"/>
      <c r="G823"/>
      <c r="H823" s="36" t="s">
        <v>55</v>
      </c>
      <c r="I823" s="48"/>
      <c r="J823" s="48"/>
      <c r="M823" s="2"/>
      <c r="O823"/>
    </row>
    <row r="824" spans="1:15" x14ac:dyDescent="0.25">
      <c r="A824">
        <v>221</v>
      </c>
      <c r="D824" s="2">
        <v>3262.43</v>
      </c>
      <c r="E824" s="2">
        <v>3262.43</v>
      </c>
      <c r="F824" s="1"/>
      <c r="G824"/>
      <c r="H824" s="36" t="s">
        <v>91</v>
      </c>
      <c r="I824" s="48"/>
      <c r="J824" s="48"/>
      <c r="M824" s="2"/>
      <c r="O824"/>
    </row>
    <row r="825" spans="1:15" x14ac:dyDescent="0.25">
      <c r="A825">
        <v>222</v>
      </c>
      <c r="D825" s="2">
        <v>1571.45</v>
      </c>
      <c r="E825" s="2">
        <v>1571.45</v>
      </c>
      <c r="F825" s="1"/>
      <c r="G825"/>
      <c r="H825" s="36" t="s">
        <v>91</v>
      </c>
      <c r="I825" s="48"/>
      <c r="J825" s="48"/>
      <c r="M825" s="2"/>
      <c r="O825"/>
    </row>
    <row r="826" spans="1:15" x14ac:dyDescent="0.25">
      <c r="A826">
        <v>224</v>
      </c>
      <c r="D826" s="2">
        <v>1275437.53</v>
      </c>
      <c r="E826" s="2">
        <v>1275437.53</v>
      </c>
      <c r="F826" s="1"/>
      <c r="G826"/>
      <c r="H826" s="36" t="s">
        <v>65</v>
      </c>
      <c r="I826" s="48"/>
      <c r="J826" s="48"/>
      <c r="M826" s="2"/>
      <c r="O826"/>
    </row>
    <row r="827" spans="1:15" x14ac:dyDescent="0.25">
      <c r="A827">
        <v>225</v>
      </c>
      <c r="D827" s="2">
        <v>2.09</v>
      </c>
      <c r="E827" s="2">
        <v>2.09</v>
      </c>
      <c r="F827" s="1"/>
      <c r="G827"/>
      <c r="H827" s="36" t="s">
        <v>66</v>
      </c>
      <c r="I827" s="48"/>
      <c r="J827" s="48"/>
      <c r="M827" s="2"/>
      <c r="O827"/>
    </row>
    <row r="828" spans="1:15" x14ac:dyDescent="0.25">
      <c r="A828">
        <v>226</v>
      </c>
      <c r="D828" s="2">
        <v>45838.85</v>
      </c>
      <c r="E828" s="2">
        <v>45838.85</v>
      </c>
      <c r="F828" s="1"/>
      <c r="G828"/>
      <c r="H828" s="36" t="s">
        <v>54</v>
      </c>
      <c r="I828" s="48"/>
      <c r="J828" s="48"/>
      <c r="M828" s="2"/>
      <c r="O828"/>
    </row>
    <row r="829" spans="1:15" x14ac:dyDescent="0.25">
      <c r="A829">
        <v>227</v>
      </c>
      <c r="D829" s="2">
        <v>1050</v>
      </c>
      <c r="E829" s="2">
        <v>1050</v>
      </c>
      <c r="F829" s="1"/>
      <c r="G829"/>
      <c r="H829" s="36" t="s">
        <v>92</v>
      </c>
      <c r="I829" s="48"/>
      <c r="J829" s="48"/>
      <c r="M829" s="2"/>
      <c r="O829"/>
    </row>
    <row r="830" spans="1:15" x14ac:dyDescent="0.25">
      <c r="A830">
        <v>23</v>
      </c>
      <c r="D830" s="2">
        <v>73243.260000000009</v>
      </c>
      <c r="E830" s="2">
        <v>73243.260000000009</v>
      </c>
      <c r="F830" s="1"/>
      <c r="G830"/>
      <c r="H830" s="36" t="s">
        <v>54</v>
      </c>
      <c r="I830" s="48"/>
      <c r="J830" s="48"/>
      <c r="M830" s="2"/>
      <c r="O830"/>
    </row>
    <row r="831" spans="1:15" x14ac:dyDescent="0.25">
      <c r="A831">
        <v>24</v>
      </c>
      <c r="D831" s="2">
        <v>91857.900000000009</v>
      </c>
      <c r="E831" s="2">
        <v>91857.900000000009</v>
      </c>
      <c r="F831" s="1"/>
      <c r="G831"/>
      <c r="H831" s="36" t="s">
        <v>54</v>
      </c>
      <c r="I831" s="48"/>
      <c r="J831" s="48"/>
      <c r="M831" s="2"/>
      <c r="O831"/>
    </row>
    <row r="832" spans="1:15" x14ac:dyDescent="0.25">
      <c r="A832">
        <v>25</v>
      </c>
      <c r="D832" s="2">
        <v>7242.72</v>
      </c>
      <c r="E832" s="2">
        <v>7242.72</v>
      </c>
      <c r="F832" s="1"/>
      <c r="G832"/>
      <c r="H832" s="36" t="s">
        <v>63</v>
      </c>
      <c r="I832" s="48"/>
      <c r="J832" s="48"/>
      <c r="M832" s="2"/>
      <c r="O832"/>
    </row>
    <row r="833" spans="1:15" x14ac:dyDescent="0.25">
      <c r="A833">
        <v>253</v>
      </c>
      <c r="D833" s="2">
        <v>52594.68</v>
      </c>
      <c r="E833" s="2">
        <v>52594.68</v>
      </c>
      <c r="F833" s="1"/>
      <c r="G833"/>
      <c r="H833" s="36" t="s">
        <v>58</v>
      </c>
      <c r="I833" s="48"/>
      <c r="J833" s="48"/>
      <c r="M833" s="2"/>
      <c r="O833"/>
    </row>
    <row r="834" spans="1:15" x14ac:dyDescent="0.25">
      <c r="A834">
        <v>255</v>
      </c>
      <c r="D834" s="2">
        <v>1.05</v>
      </c>
      <c r="E834" s="2">
        <v>1.05</v>
      </c>
      <c r="F834" s="1"/>
      <c r="G834"/>
      <c r="H834" s="36" t="s">
        <v>87</v>
      </c>
      <c r="I834" s="48"/>
      <c r="J834" s="48"/>
      <c r="M834" s="2"/>
      <c r="O834"/>
    </row>
    <row r="835" spans="1:15" x14ac:dyDescent="0.25">
      <c r="A835">
        <v>256</v>
      </c>
      <c r="D835" s="2">
        <v>24000</v>
      </c>
      <c r="E835" s="2">
        <v>24000</v>
      </c>
      <c r="F835" s="1"/>
      <c r="G835"/>
      <c r="H835" s="36" t="s">
        <v>58</v>
      </c>
      <c r="I835" s="48"/>
      <c r="J835" s="48"/>
      <c r="M835" s="2"/>
      <c r="O835"/>
    </row>
    <row r="836" spans="1:15" x14ac:dyDescent="0.25">
      <c r="A836">
        <v>258</v>
      </c>
      <c r="D836" s="2">
        <v>42200</v>
      </c>
      <c r="E836" s="2">
        <v>42200</v>
      </c>
      <c r="F836" s="1"/>
      <c r="G836"/>
      <c r="H836" s="36" t="s">
        <v>58</v>
      </c>
      <c r="I836" s="48"/>
      <c r="J836" s="48"/>
      <c r="M836" s="2"/>
      <c r="O836"/>
    </row>
    <row r="837" spans="1:15" x14ac:dyDescent="0.25">
      <c r="A837">
        <v>26</v>
      </c>
      <c r="D837" s="2">
        <v>12170.27</v>
      </c>
      <c r="E837" s="2">
        <v>12170.27</v>
      </c>
      <c r="F837" s="1"/>
      <c r="G837"/>
      <c r="H837" s="36" t="s">
        <v>88</v>
      </c>
      <c r="I837" s="48"/>
      <c r="J837" s="48"/>
      <c r="M837" s="2"/>
      <c r="O837"/>
    </row>
    <row r="838" spans="1:15" x14ac:dyDescent="0.25">
      <c r="A838">
        <v>260</v>
      </c>
      <c r="D838" s="2">
        <v>562000</v>
      </c>
      <c r="E838" s="2">
        <v>562000</v>
      </c>
      <c r="F838" s="1"/>
      <c r="G838"/>
      <c r="H838" s="36" t="s">
        <v>94</v>
      </c>
      <c r="I838" s="48"/>
      <c r="J838" s="48"/>
      <c r="M838" s="2"/>
      <c r="O838"/>
    </row>
    <row r="839" spans="1:15" x14ac:dyDescent="0.25">
      <c r="A839">
        <v>265</v>
      </c>
      <c r="D839" s="2">
        <v>8185.48</v>
      </c>
      <c r="E839" s="2">
        <v>8185.48</v>
      </c>
      <c r="F839" s="1"/>
      <c r="G839"/>
      <c r="H839" s="36" t="s">
        <v>54</v>
      </c>
      <c r="I839" s="48"/>
      <c r="J839" s="48"/>
      <c r="M839" s="2"/>
      <c r="O839"/>
    </row>
    <row r="840" spans="1:15" x14ac:dyDescent="0.25">
      <c r="A840">
        <v>266</v>
      </c>
      <c r="D840" s="2">
        <v>38800</v>
      </c>
      <c r="E840" s="2">
        <v>38800</v>
      </c>
      <c r="F840" s="1"/>
      <c r="G840"/>
      <c r="H840" s="36" t="s">
        <v>58</v>
      </c>
      <c r="I840" s="48"/>
      <c r="J840" s="48"/>
      <c r="M840" s="2"/>
      <c r="O840"/>
    </row>
    <row r="841" spans="1:15" x14ac:dyDescent="0.25">
      <c r="A841">
        <v>267</v>
      </c>
      <c r="D841" s="2">
        <v>16000</v>
      </c>
      <c r="E841" s="2">
        <v>16000</v>
      </c>
      <c r="F841" s="1"/>
      <c r="G841"/>
      <c r="H841" s="36" t="s">
        <v>62</v>
      </c>
      <c r="I841" s="48"/>
      <c r="J841" s="48"/>
      <c r="M841" s="2"/>
      <c r="O841"/>
    </row>
    <row r="842" spans="1:15" x14ac:dyDescent="0.25">
      <c r="A842">
        <v>268</v>
      </c>
      <c r="D842" s="2">
        <v>1400</v>
      </c>
      <c r="E842" s="2">
        <v>1400</v>
      </c>
      <c r="F842" s="1"/>
      <c r="G842"/>
      <c r="H842" s="36" t="s">
        <v>67</v>
      </c>
      <c r="I842" s="48"/>
      <c r="J842" s="48"/>
      <c r="M842" s="2"/>
      <c r="O842"/>
    </row>
    <row r="843" spans="1:15" x14ac:dyDescent="0.25">
      <c r="A843">
        <v>269</v>
      </c>
      <c r="D843" s="2">
        <v>16000</v>
      </c>
      <c r="E843" s="2">
        <v>16000</v>
      </c>
      <c r="F843" s="1"/>
      <c r="G843"/>
      <c r="H843" s="36" t="s">
        <v>62</v>
      </c>
      <c r="I843" s="48"/>
      <c r="J843" s="48"/>
      <c r="M843" s="2"/>
      <c r="O843"/>
    </row>
    <row r="844" spans="1:15" x14ac:dyDescent="0.25">
      <c r="A844">
        <v>27</v>
      </c>
      <c r="D844" s="2">
        <v>22668.58</v>
      </c>
      <c r="E844" s="2">
        <v>22668.58</v>
      </c>
      <c r="F844" s="1"/>
      <c r="G844"/>
      <c r="H844" s="36" t="s">
        <v>56</v>
      </c>
      <c r="I844" s="48"/>
      <c r="J844" s="48"/>
      <c r="M844" s="2"/>
      <c r="O844"/>
    </row>
    <row r="845" spans="1:15" x14ac:dyDescent="0.25">
      <c r="A845">
        <v>270</v>
      </c>
      <c r="D845" s="2">
        <v>2400</v>
      </c>
      <c r="E845" s="2">
        <v>2400</v>
      </c>
      <c r="F845" s="1"/>
      <c r="G845"/>
      <c r="H845" s="36" t="s">
        <v>58</v>
      </c>
      <c r="I845" s="48"/>
      <c r="J845" s="48"/>
      <c r="M845" s="2"/>
      <c r="O845"/>
    </row>
    <row r="846" spans="1:15" x14ac:dyDescent="0.25">
      <c r="A846">
        <v>273</v>
      </c>
      <c r="D846" s="2">
        <v>6310.17</v>
      </c>
      <c r="E846" s="2">
        <v>6310.17</v>
      </c>
      <c r="F846" s="1"/>
      <c r="G846"/>
      <c r="H846" s="36" t="s">
        <v>67</v>
      </c>
      <c r="I846" s="48"/>
      <c r="J846" s="48"/>
      <c r="M846" s="2"/>
      <c r="O846"/>
    </row>
    <row r="847" spans="1:15" x14ac:dyDescent="0.25">
      <c r="A847">
        <v>274</v>
      </c>
      <c r="D847" s="2">
        <v>84818.240000000005</v>
      </c>
      <c r="E847" s="2">
        <v>84818.240000000005</v>
      </c>
      <c r="F847" s="1"/>
      <c r="G847"/>
      <c r="H847" s="36" t="s">
        <v>90</v>
      </c>
      <c r="I847" s="48"/>
      <c r="J847" s="48"/>
      <c r="M847" s="2"/>
      <c r="O847"/>
    </row>
    <row r="848" spans="1:15" x14ac:dyDescent="0.25">
      <c r="A848">
        <v>275</v>
      </c>
      <c r="D848" s="2">
        <v>2551.54</v>
      </c>
      <c r="E848" s="2">
        <v>2551.54</v>
      </c>
      <c r="F848" s="1"/>
      <c r="G848"/>
      <c r="H848" s="36" t="s">
        <v>67</v>
      </c>
      <c r="I848" s="48"/>
      <c r="J848" s="48"/>
      <c r="M848" s="2"/>
      <c r="O848"/>
    </row>
    <row r="849" spans="1:15" x14ac:dyDescent="0.25">
      <c r="A849">
        <v>276</v>
      </c>
      <c r="D849" s="2">
        <v>477371.38</v>
      </c>
      <c r="E849" s="2">
        <v>477371.38</v>
      </c>
      <c r="F849" s="1"/>
      <c r="G849"/>
      <c r="H849" s="36" t="s">
        <v>90</v>
      </c>
      <c r="I849" s="48"/>
      <c r="J849" s="48"/>
      <c r="M849" s="2"/>
      <c r="O849"/>
    </row>
    <row r="850" spans="1:15" x14ac:dyDescent="0.25">
      <c r="A850">
        <v>277</v>
      </c>
      <c r="D850" s="2">
        <v>477371.38</v>
      </c>
      <c r="E850" s="2">
        <v>477371.38</v>
      </c>
      <c r="F850" s="1"/>
      <c r="G850"/>
      <c r="H850" s="36" t="s">
        <v>90</v>
      </c>
      <c r="I850" s="48"/>
      <c r="J850" s="48"/>
      <c r="M850" s="2"/>
      <c r="O850"/>
    </row>
    <row r="851" spans="1:15" x14ac:dyDescent="0.25">
      <c r="A851">
        <v>278</v>
      </c>
      <c r="D851" s="2">
        <v>143941.99</v>
      </c>
      <c r="E851" s="2">
        <v>143941.99</v>
      </c>
      <c r="F851" s="1"/>
      <c r="G851"/>
      <c r="H851" s="36" t="s">
        <v>90</v>
      </c>
      <c r="I851" s="48"/>
      <c r="J851" s="48"/>
      <c r="M851" s="2"/>
      <c r="O851"/>
    </row>
    <row r="852" spans="1:15" x14ac:dyDescent="0.25">
      <c r="A852">
        <v>279</v>
      </c>
      <c r="D852" s="2">
        <v>1209334.08</v>
      </c>
      <c r="E852" s="2">
        <v>1209334.08</v>
      </c>
      <c r="F852" s="1"/>
      <c r="G852"/>
      <c r="H852" s="36" t="s">
        <v>64</v>
      </c>
      <c r="I852" s="48"/>
      <c r="J852" s="48"/>
      <c r="M852" s="2"/>
      <c r="O852"/>
    </row>
    <row r="853" spans="1:15" x14ac:dyDescent="0.25">
      <c r="A853">
        <v>28</v>
      </c>
      <c r="D853" s="2">
        <v>20538</v>
      </c>
      <c r="E853" s="2">
        <v>20538</v>
      </c>
      <c r="F853" s="1"/>
      <c r="G853"/>
      <c r="H853" s="36" t="s">
        <v>68</v>
      </c>
      <c r="I853" s="48"/>
      <c r="J853" s="48"/>
      <c r="M853" s="2"/>
      <c r="O853"/>
    </row>
    <row r="854" spans="1:15" x14ac:dyDescent="0.25">
      <c r="A854">
        <v>280</v>
      </c>
      <c r="D854" s="2">
        <v>19000</v>
      </c>
      <c r="E854" s="2">
        <v>19000</v>
      </c>
      <c r="F854" s="1"/>
      <c r="G854"/>
      <c r="H854" s="36" t="s">
        <v>57</v>
      </c>
      <c r="I854" s="48"/>
      <c r="J854" s="48"/>
      <c r="M854" s="2"/>
      <c r="O854"/>
    </row>
    <row r="855" spans="1:15" x14ac:dyDescent="0.25">
      <c r="A855">
        <v>281</v>
      </c>
      <c r="D855" s="2">
        <v>46800</v>
      </c>
      <c r="E855" s="2">
        <v>46800</v>
      </c>
      <c r="F855" s="1"/>
      <c r="G855"/>
      <c r="H855" s="36" t="s">
        <v>58</v>
      </c>
      <c r="I855" s="48"/>
      <c r="J855" s="48"/>
      <c r="M855" s="2"/>
      <c r="O855"/>
    </row>
    <row r="856" spans="1:15" x14ac:dyDescent="0.25">
      <c r="A856">
        <v>295</v>
      </c>
      <c r="D856" s="2">
        <v>14172.12</v>
      </c>
      <c r="E856" s="2">
        <v>14172.12</v>
      </c>
      <c r="F856" s="1"/>
      <c r="G856"/>
      <c r="H856" s="36" t="s">
        <v>54</v>
      </c>
      <c r="I856" s="48"/>
      <c r="J856" s="48"/>
      <c r="M856" s="2"/>
      <c r="O856"/>
    </row>
    <row r="857" spans="1:15" x14ac:dyDescent="0.25">
      <c r="A857">
        <v>297</v>
      </c>
      <c r="D857" s="2">
        <v>21367.5</v>
      </c>
      <c r="E857" s="2">
        <v>21367.5</v>
      </c>
      <c r="F857" s="1"/>
      <c r="G857"/>
      <c r="H857" s="36" t="s">
        <v>64</v>
      </c>
      <c r="I857" s="48"/>
      <c r="J857" s="48"/>
      <c r="M857" s="2"/>
      <c r="O857"/>
    </row>
    <row r="858" spans="1:15" x14ac:dyDescent="0.25">
      <c r="A858">
        <v>299</v>
      </c>
      <c r="D858" s="2">
        <v>48297</v>
      </c>
      <c r="E858" s="2">
        <v>48297</v>
      </c>
      <c r="F858" s="1"/>
      <c r="G858"/>
      <c r="H858" s="36" t="s">
        <v>60</v>
      </c>
      <c r="I858" s="48"/>
      <c r="J858" s="48"/>
      <c r="M858" s="2"/>
      <c r="O858"/>
    </row>
    <row r="859" spans="1:15" x14ac:dyDescent="0.25">
      <c r="A859">
        <v>302</v>
      </c>
      <c r="D859" s="2">
        <v>298389.21000000002</v>
      </c>
      <c r="E859" s="2">
        <v>298389.21000000002</v>
      </c>
      <c r="F859" s="1"/>
      <c r="G859"/>
      <c r="H859" s="36" t="s">
        <v>95</v>
      </c>
      <c r="I859" s="48"/>
      <c r="J859" s="48"/>
      <c r="M859" s="2"/>
      <c r="O859"/>
    </row>
    <row r="860" spans="1:15" x14ac:dyDescent="0.25">
      <c r="A860">
        <v>316</v>
      </c>
      <c r="D860" s="2">
        <v>20174</v>
      </c>
      <c r="E860" s="2">
        <v>20174</v>
      </c>
      <c r="F860" s="1"/>
      <c r="G860"/>
      <c r="H860" s="36" t="s">
        <v>58</v>
      </c>
      <c r="I860" s="48"/>
      <c r="J860" s="48"/>
      <c r="M860" s="2"/>
      <c r="O860"/>
    </row>
    <row r="861" spans="1:15" x14ac:dyDescent="0.25">
      <c r="A861">
        <v>324</v>
      </c>
      <c r="D861" s="2">
        <v>15311.35</v>
      </c>
      <c r="E861" s="2">
        <v>15311.35</v>
      </c>
      <c r="F861" s="1"/>
      <c r="G861"/>
      <c r="H861" s="36" t="s">
        <v>96</v>
      </c>
      <c r="I861" s="48"/>
      <c r="J861" s="48"/>
      <c r="M861" s="2"/>
      <c r="O861"/>
    </row>
    <row r="862" spans="1:15" x14ac:dyDescent="0.25">
      <c r="A862">
        <v>325</v>
      </c>
      <c r="D862" s="2">
        <v>59761.2</v>
      </c>
      <c r="E862" s="2">
        <v>59761.2</v>
      </c>
      <c r="F862" s="1"/>
      <c r="G862"/>
      <c r="H862" s="36" t="s">
        <v>58</v>
      </c>
      <c r="I862" s="48"/>
      <c r="J862" s="48"/>
      <c r="M862" s="2"/>
      <c r="O862"/>
    </row>
    <row r="863" spans="1:15" x14ac:dyDescent="0.25">
      <c r="A863">
        <v>326</v>
      </c>
      <c r="D863" s="2">
        <v>24621.62</v>
      </c>
      <c r="E863" s="2">
        <v>24621.62</v>
      </c>
      <c r="F863" s="1"/>
      <c r="G863"/>
      <c r="H863" s="36" t="s">
        <v>58</v>
      </c>
      <c r="I863" s="48"/>
      <c r="J863" s="48"/>
      <c r="M863" s="2"/>
      <c r="O863"/>
    </row>
    <row r="864" spans="1:15" x14ac:dyDescent="0.25">
      <c r="A864">
        <v>330</v>
      </c>
      <c r="D864" s="2">
        <v>1</v>
      </c>
      <c r="E864" s="2">
        <v>1</v>
      </c>
      <c r="F864" s="1"/>
      <c r="G864"/>
      <c r="H864" s="36" t="s">
        <v>59</v>
      </c>
      <c r="I864" s="48"/>
      <c r="J864" s="48"/>
      <c r="M864" s="2"/>
      <c r="O864"/>
    </row>
    <row r="865" spans="1:15" x14ac:dyDescent="0.25">
      <c r="A865">
        <v>331</v>
      </c>
      <c r="D865" s="2">
        <v>1</v>
      </c>
      <c r="E865" s="2">
        <v>1</v>
      </c>
      <c r="F865" s="1"/>
      <c r="G865"/>
      <c r="H865" s="36" t="s">
        <v>59</v>
      </c>
      <c r="I865" s="48"/>
      <c r="J865" s="48"/>
      <c r="M865" s="2"/>
      <c r="O865"/>
    </row>
    <row r="866" spans="1:15" x14ac:dyDescent="0.25">
      <c r="A866">
        <v>332</v>
      </c>
      <c r="D866" s="2">
        <v>1</v>
      </c>
      <c r="E866" s="2">
        <v>1</v>
      </c>
      <c r="F866" s="1"/>
      <c r="G866"/>
      <c r="H866" s="36" t="s">
        <v>59</v>
      </c>
      <c r="I866" s="48"/>
      <c r="J866" s="48"/>
      <c r="M866" s="2"/>
      <c r="O866"/>
    </row>
    <row r="867" spans="1:15" x14ac:dyDescent="0.25">
      <c r="A867">
        <v>333</v>
      </c>
      <c r="D867" s="2">
        <v>1</v>
      </c>
      <c r="E867" s="2">
        <v>1</v>
      </c>
      <c r="F867" s="1"/>
      <c r="G867"/>
      <c r="H867" s="36" t="s">
        <v>59</v>
      </c>
      <c r="I867" s="48"/>
      <c r="J867" s="48"/>
      <c r="M867" s="2"/>
      <c r="O867"/>
    </row>
    <row r="868" spans="1:15" x14ac:dyDescent="0.25">
      <c r="A868">
        <v>338</v>
      </c>
      <c r="D868" s="2">
        <v>25493.94</v>
      </c>
      <c r="E868" s="2">
        <v>25493.94</v>
      </c>
      <c r="F868" s="1"/>
      <c r="G868"/>
      <c r="H868" s="36" t="s">
        <v>58</v>
      </c>
      <c r="I868" s="48"/>
      <c r="J868" s="48"/>
      <c r="M868" s="2"/>
      <c r="O868"/>
    </row>
    <row r="869" spans="1:15" x14ac:dyDescent="0.25">
      <c r="A869">
        <v>353</v>
      </c>
      <c r="D869" s="2">
        <v>47510.48</v>
      </c>
      <c r="E869" s="2">
        <v>47510.48</v>
      </c>
      <c r="F869" s="1"/>
      <c r="G869"/>
      <c r="H869" s="36" t="s">
        <v>56</v>
      </c>
      <c r="I869" s="48"/>
      <c r="J869" s="48"/>
      <c r="M869" s="2"/>
      <c r="O869"/>
    </row>
    <row r="870" spans="1:15" x14ac:dyDescent="0.25">
      <c r="A870">
        <v>354</v>
      </c>
      <c r="D870" s="2">
        <v>159387.92000000001</v>
      </c>
      <c r="E870" s="2">
        <v>159387.92000000001</v>
      </c>
      <c r="F870" s="1"/>
      <c r="G870"/>
      <c r="H870" s="36" t="s">
        <v>97</v>
      </c>
      <c r="I870" s="48"/>
      <c r="J870" s="48"/>
      <c r="M870" s="2"/>
      <c r="O870"/>
    </row>
    <row r="871" spans="1:15" x14ac:dyDescent="0.25">
      <c r="A871">
        <v>355</v>
      </c>
      <c r="D871" s="2">
        <v>76711.350000000006</v>
      </c>
      <c r="E871" s="2">
        <v>76711.350000000006</v>
      </c>
      <c r="F871" s="1"/>
      <c r="G871"/>
      <c r="H871" s="36" t="s">
        <v>97</v>
      </c>
      <c r="I871" s="48"/>
      <c r="J871" s="48"/>
      <c r="M871" s="2"/>
      <c r="O871"/>
    </row>
    <row r="872" spans="1:15" x14ac:dyDescent="0.25">
      <c r="A872">
        <v>356</v>
      </c>
      <c r="D872" s="2">
        <v>175661.09</v>
      </c>
      <c r="E872" s="2">
        <v>175661.09</v>
      </c>
      <c r="F872" s="1"/>
      <c r="G872"/>
      <c r="H872" s="36" t="s">
        <v>97</v>
      </c>
      <c r="I872" s="48"/>
      <c r="J872" s="48"/>
      <c r="M872" s="2"/>
      <c r="O872"/>
    </row>
    <row r="873" spans="1:15" x14ac:dyDescent="0.25">
      <c r="A873">
        <v>357</v>
      </c>
      <c r="D873" s="2">
        <v>28239.64</v>
      </c>
      <c r="E873" s="2">
        <v>28239.64</v>
      </c>
      <c r="F873" s="1"/>
      <c r="G873"/>
      <c r="H873" s="36" t="s">
        <v>97</v>
      </c>
      <c r="I873" s="48"/>
      <c r="J873" s="48"/>
      <c r="M873" s="2"/>
      <c r="O873"/>
    </row>
    <row r="874" spans="1:15" x14ac:dyDescent="0.25">
      <c r="A874">
        <v>364</v>
      </c>
      <c r="D874" s="2">
        <v>38500</v>
      </c>
      <c r="E874" s="2">
        <v>38500</v>
      </c>
      <c r="F874" s="1"/>
      <c r="G874"/>
      <c r="H874" s="36" t="s">
        <v>98</v>
      </c>
      <c r="I874" s="48"/>
      <c r="J874" s="48"/>
      <c r="M874" s="2"/>
      <c r="O874"/>
    </row>
    <row r="875" spans="1:15" x14ac:dyDescent="0.25">
      <c r="A875">
        <v>365</v>
      </c>
      <c r="D875" s="2">
        <v>839040</v>
      </c>
      <c r="E875" s="2">
        <v>839040</v>
      </c>
      <c r="F875" s="1"/>
      <c r="G875"/>
      <c r="H875" s="36" t="s">
        <v>98</v>
      </c>
      <c r="I875" s="48"/>
      <c r="J875" s="48"/>
      <c r="M875" s="2"/>
      <c r="O875"/>
    </row>
    <row r="876" spans="1:15" x14ac:dyDescent="0.25">
      <c r="A876">
        <v>371</v>
      </c>
      <c r="D876" s="2">
        <v>5365.54</v>
      </c>
      <c r="E876" s="2">
        <v>5365.54</v>
      </c>
      <c r="F876" s="1"/>
      <c r="G876"/>
      <c r="H876" s="36" t="s">
        <v>93</v>
      </c>
      <c r="I876" s="48"/>
      <c r="J876" s="48"/>
      <c r="M876" s="2"/>
      <c r="O876"/>
    </row>
    <row r="877" spans="1:15" x14ac:dyDescent="0.25">
      <c r="A877">
        <v>379</v>
      </c>
      <c r="D877" s="2">
        <v>65988.09</v>
      </c>
      <c r="E877" s="2">
        <v>65988.09</v>
      </c>
      <c r="F877" s="1"/>
      <c r="G877"/>
      <c r="H877" s="36" t="s">
        <v>64</v>
      </c>
      <c r="I877" s="48"/>
      <c r="J877" s="48"/>
      <c r="M877" s="2"/>
      <c r="O877"/>
    </row>
    <row r="878" spans="1:15" x14ac:dyDescent="0.25">
      <c r="A878">
        <v>38</v>
      </c>
      <c r="D878" s="2"/>
      <c r="F878" s="1"/>
      <c r="G878"/>
      <c r="H878" s="36"/>
      <c r="I878" s="48"/>
      <c r="J878" s="48"/>
      <c r="M878" s="2"/>
      <c r="O878"/>
    </row>
    <row r="879" spans="1:15" x14ac:dyDescent="0.25">
      <c r="A879">
        <v>380</v>
      </c>
      <c r="D879" s="2">
        <v>1209334.08</v>
      </c>
      <c r="E879" s="2">
        <v>1209334.08</v>
      </c>
      <c r="F879" s="1"/>
      <c r="G879"/>
      <c r="H879" s="36" t="s">
        <v>64</v>
      </c>
      <c r="I879" s="48"/>
      <c r="J879" s="48"/>
      <c r="M879" s="2"/>
      <c r="O879"/>
    </row>
    <row r="880" spans="1:15" x14ac:dyDescent="0.25">
      <c r="A880">
        <v>381</v>
      </c>
      <c r="D880" s="2">
        <v>33808.410000000003</v>
      </c>
      <c r="E880" s="2">
        <v>33808.410000000003</v>
      </c>
      <c r="F880" s="1"/>
      <c r="G880"/>
      <c r="H880" s="36" t="s">
        <v>64</v>
      </c>
      <c r="I880" s="48"/>
      <c r="J880" s="48"/>
      <c r="M880" s="2"/>
      <c r="O880"/>
    </row>
    <row r="881" spans="1:15" x14ac:dyDescent="0.25">
      <c r="A881">
        <v>387</v>
      </c>
      <c r="D881" s="2">
        <v>2200</v>
      </c>
      <c r="E881" s="2">
        <v>2200</v>
      </c>
      <c r="F881" s="1"/>
      <c r="G881"/>
      <c r="H881" s="36" t="s">
        <v>99</v>
      </c>
      <c r="I881" s="48"/>
      <c r="J881" s="48"/>
      <c r="M881" s="2"/>
      <c r="O881"/>
    </row>
    <row r="882" spans="1:15" x14ac:dyDescent="0.25">
      <c r="A882">
        <v>389</v>
      </c>
      <c r="D882" s="2">
        <v>1115675.3999999999</v>
      </c>
      <c r="E882" s="2">
        <v>1115675.3999999999</v>
      </c>
      <c r="F882" s="1"/>
      <c r="G882"/>
      <c r="H882" s="36" t="s">
        <v>59</v>
      </c>
      <c r="I882" s="48" t="s">
        <v>106</v>
      </c>
      <c r="J882" s="48" t="s">
        <v>107</v>
      </c>
      <c r="M882" s="2"/>
      <c r="O882"/>
    </row>
    <row r="883" spans="1:15" x14ac:dyDescent="0.25">
      <c r="A883">
        <v>39</v>
      </c>
      <c r="D883" s="2"/>
      <c r="F883" s="1"/>
      <c r="G883"/>
      <c r="H883" s="36"/>
      <c r="I883" s="48"/>
      <c r="J883" s="48"/>
      <c r="M883" s="2"/>
      <c r="O883"/>
    </row>
    <row r="884" spans="1:15" x14ac:dyDescent="0.25">
      <c r="A884">
        <v>390</v>
      </c>
      <c r="D884" s="2">
        <v>0</v>
      </c>
      <c r="E884" s="2">
        <v>0</v>
      </c>
      <c r="F884" s="1"/>
      <c r="G884"/>
      <c r="H884" s="36" t="s">
        <v>59</v>
      </c>
      <c r="I884" s="48"/>
      <c r="J884" s="48"/>
      <c r="M884" s="2"/>
      <c r="O884"/>
    </row>
    <row r="885" spans="1:15" x14ac:dyDescent="0.25">
      <c r="A885">
        <v>391</v>
      </c>
      <c r="D885" s="2">
        <v>895312.12</v>
      </c>
      <c r="E885" s="2">
        <v>895312.12</v>
      </c>
      <c r="F885" s="1"/>
      <c r="G885"/>
      <c r="H885" s="36" t="s">
        <v>119</v>
      </c>
      <c r="I885" s="48" t="s">
        <v>113</v>
      </c>
      <c r="J885" s="48" t="s">
        <v>120</v>
      </c>
      <c r="M885" s="2"/>
      <c r="O885"/>
    </row>
    <row r="886" spans="1:15" x14ac:dyDescent="0.25">
      <c r="A886">
        <v>393</v>
      </c>
      <c r="D886" s="2">
        <v>7803.19</v>
      </c>
      <c r="E886" s="2">
        <v>7803.19</v>
      </c>
      <c r="F886" s="1"/>
      <c r="G886"/>
      <c r="H886" s="36" t="s">
        <v>90</v>
      </c>
      <c r="I886" s="48"/>
      <c r="J886" s="48"/>
      <c r="M886" s="2"/>
      <c r="O886"/>
    </row>
    <row r="887" spans="1:15" x14ac:dyDescent="0.25">
      <c r="A887">
        <v>40</v>
      </c>
      <c r="D887" s="2">
        <v>36137</v>
      </c>
      <c r="E887" s="2">
        <v>36137</v>
      </c>
      <c r="F887" s="1"/>
      <c r="G887"/>
      <c r="H887" s="36" t="s">
        <v>55</v>
      </c>
      <c r="I887" s="48"/>
      <c r="J887" s="48"/>
      <c r="M887" s="2"/>
      <c r="O887"/>
    </row>
    <row r="888" spans="1:15" x14ac:dyDescent="0.25">
      <c r="A888">
        <v>41</v>
      </c>
      <c r="D888" s="2">
        <v>36137</v>
      </c>
      <c r="E888" s="2">
        <v>36137</v>
      </c>
      <c r="F888" s="1"/>
      <c r="G888"/>
      <c r="H888" s="36" t="s">
        <v>55</v>
      </c>
      <c r="I888" s="48"/>
      <c r="J888" s="48"/>
      <c r="M888" s="2"/>
      <c r="O888"/>
    </row>
    <row r="889" spans="1:15" x14ac:dyDescent="0.25">
      <c r="A889">
        <v>42</v>
      </c>
      <c r="D889" s="2">
        <v>36137</v>
      </c>
      <c r="E889" s="2">
        <v>36137</v>
      </c>
      <c r="F889" s="1"/>
      <c r="G889"/>
      <c r="H889" s="36" t="s">
        <v>55</v>
      </c>
      <c r="I889" s="48"/>
      <c r="J889" s="48"/>
      <c r="M889" s="2"/>
      <c r="O889"/>
    </row>
    <row r="890" spans="1:15" x14ac:dyDescent="0.25">
      <c r="A890">
        <v>43</v>
      </c>
      <c r="D890" s="2">
        <v>15207.550000000001</v>
      </c>
      <c r="E890" s="2">
        <v>15207.550000000001</v>
      </c>
      <c r="F890" s="1"/>
      <c r="G890"/>
      <c r="H890" s="36" t="s">
        <v>55</v>
      </c>
      <c r="I890" s="48"/>
      <c r="J890" s="48"/>
      <c r="M890" s="2"/>
      <c r="O890"/>
    </row>
    <row r="891" spans="1:15" x14ac:dyDescent="0.25">
      <c r="A891">
        <v>44</v>
      </c>
      <c r="D891" s="2">
        <v>13364.28</v>
      </c>
      <c r="E891" s="2">
        <v>13364.28</v>
      </c>
      <c r="F891" s="1"/>
      <c r="G891"/>
      <c r="H891" s="36" t="s">
        <v>55</v>
      </c>
      <c r="I891" s="48"/>
      <c r="J891" s="48"/>
      <c r="M891" s="2"/>
      <c r="O891"/>
    </row>
    <row r="892" spans="1:15" x14ac:dyDescent="0.25">
      <c r="A892">
        <v>45</v>
      </c>
      <c r="D892" s="2">
        <v>13364.28</v>
      </c>
      <c r="E892" s="2">
        <v>13364.28</v>
      </c>
      <c r="F892" s="1"/>
      <c r="G892"/>
      <c r="H892" s="36" t="s">
        <v>55</v>
      </c>
      <c r="I892" s="48"/>
      <c r="J892" s="48"/>
      <c r="M892" s="2"/>
      <c r="O892"/>
    </row>
    <row r="893" spans="1:15" x14ac:dyDescent="0.25">
      <c r="A893">
        <v>46</v>
      </c>
      <c r="D893" s="2">
        <v>18097.280000000002</v>
      </c>
      <c r="E893" s="2">
        <v>18097.280000000002</v>
      </c>
      <c r="F893" s="1"/>
      <c r="G893"/>
      <c r="H893" s="36" t="s">
        <v>55</v>
      </c>
      <c r="I893" s="48"/>
      <c r="J893" s="48"/>
      <c r="M893" s="2"/>
      <c r="O893"/>
    </row>
    <row r="894" spans="1:15" x14ac:dyDescent="0.25">
      <c r="A894">
        <v>47</v>
      </c>
      <c r="D894" s="2">
        <v>18097.280000000002</v>
      </c>
      <c r="E894" s="2">
        <v>18097.280000000002</v>
      </c>
      <c r="F894" s="1"/>
      <c r="G894"/>
      <c r="H894" s="36" t="s">
        <v>55</v>
      </c>
      <c r="I894" s="48"/>
      <c r="J894" s="48"/>
      <c r="M894" s="2"/>
      <c r="O894"/>
    </row>
    <row r="895" spans="1:15" x14ac:dyDescent="0.25">
      <c r="A895">
        <v>48</v>
      </c>
      <c r="D895" s="2">
        <v>60172.67</v>
      </c>
      <c r="E895" s="2">
        <v>60172.67</v>
      </c>
      <c r="F895" s="1"/>
      <c r="G895"/>
      <c r="H895" s="36" t="s">
        <v>54</v>
      </c>
      <c r="I895" s="48"/>
      <c r="J895" s="48"/>
      <c r="M895" s="2"/>
      <c r="O895"/>
    </row>
    <row r="896" spans="1:15" x14ac:dyDescent="0.25">
      <c r="A896">
        <v>49</v>
      </c>
      <c r="D896" s="2">
        <v>53865</v>
      </c>
      <c r="E896" s="2">
        <v>53865</v>
      </c>
      <c r="F896" s="1"/>
      <c r="G896"/>
      <c r="H896" s="36" t="s">
        <v>54</v>
      </c>
      <c r="I896" s="48"/>
      <c r="J896" s="48"/>
      <c r="M896" s="2"/>
      <c r="O896"/>
    </row>
    <row r="897" spans="1:15" x14ac:dyDescent="0.25">
      <c r="A897">
        <v>499</v>
      </c>
      <c r="D897" s="2">
        <v>54289.84</v>
      </c>
      <c r="E897" s="2">
        <v>54289.84</v>
      </c>
      <c r="F897" s="1"/>
      <c r="G897"/>
      <c r="H897" s="36" t="s">
        <v>61</v>
      </c>
      <c r="I897" s="48"/>
      <c r="J897" s="48"/>
      <c r="M897" s="2"/>
      <c r="O897"/>
    </row>
    <row r="898" spans="1:15" x14ac:dyDescent="0.25">
      <c r="A898">
        <v>5</v>
      </c>
      <c r="D898" s="2">
        <v>53568.030000000006</v>
      </c>
      <c r="E898" s="2">
        <v>53568.030000000006</v>
      </c>
      <c r="F898" s="1"/>
      <c r="G898"/>
      <c r="H898" s="36" t="s">
        <v>54</v>
      </c>
      <c r="I898" s="48"/>
      <c r="J898" s="48"/>
      <c r="M898" s="2"/>
      <c r="O898"/>
    </row>
    <row r="899" spans="1:15" x14ac:dyDescent="0.25">
      <c r="A899">
        <v>50</v>
      </c>
      <c r="D899" s="2">
        <v>64419.54</v>
      </c>
      <c r="E899" s="2">
        <v>64419.54</v>
      </c>
      <c r="F899" s="1"/>
      <c r="G899"/>
      <c r="H899" s="36" t="s">
        <v>54</v>
      </c>
      <c r="I899" s="48"/>
      <c r="J899" s="48"/>
      <c r="M899" s="2"/>
      <c r="O899"/>
    </row>
    <row r="900" spans="1:15" x14ac:dyDescent="0.25">
      <c r="A900">
        <v>505</v>
      </c>
      <c r="D900" s="2">
        <v>141975</v>
      </c>
      <c r="E900" s="2">
        <v>141975</v>
      </c>
      <c r="F900" s="1"/>
      <c r="G900"/>
      <c r="H900" s="36" t="s">
        <v>63</v>
      </c>
      <c r="I900" s="48"/>
      <c r="J900" s="48"/>
      <c r="M900" s="2"/>
      <c r="O900"/>
    </row>
    <row r="901" spans="1:15" x14ac:dyDescent="0.25">
      <c r="A901">
        <v>506</v>
      </c>
      <c r="D901" s="2">
        <v>1110270</v>
      </c>
      <c r="E901" s="2">
        <v>1110270</v>
      </c>
      <c r="F901" s="1"/>
      <c r="G901"/>
      <c r="H901" s="36" t="s">
        <v>63</v>
      </c>
      <c r="I901" s="48"/>
      <c r="J901" s="48"/>
      <c r="M901" s="2"/>
      <c r="O901"/>
    </row>
    <row r="902" spans="1:15" x14ac:dyDescent="0.25">
      <c r="A902">
        <v>507</v>
      </c>
      <c r="D902" s="2">
        <v>1798680</v>
      </c>
      <c r="E902" s="2">
        <v>1798680</v>
      </c>
      <c r="F902" s="1"/>
      <c r="G902"/>
      <c r="H902" s="36" t="s">
        <v>63</v>
      </c>
      <c r="I902" s="48"/>
      <c r="J902" s="48"/>
      <c r="M902" s="2"/>
      <c r="O902"/>
    </row>
    <row r="903" spans="1:15" x14ac:dyDescent="0.25">
      <c r="A903">
        <v>509</v>
      </c>
      <c r="D903" s="2"/>
      <c r="F903" s="1"/>
      <c r="G903"/>
      <c r="H903" s="36"/>
      <c r="I903" s="48"/>
      <c r="J903" s="48"/>
      <c r="M903" s="2"/>
      <c r="O903"/>
    </row>
    <row r="904" spans="1:15" x14ac:dyDescent="0.25">
      <c r="A904">
        <v>51</v>
      </c>
      <c r="D904" s="2">
        <v>61691.22</v>
      </c>
      <c r="E904" s="2">
        <v>61691.22</v>
      </c>
      <c r="F904" s="1"/>
      <c r="G904"/>
      <c r="H904" s="36" t="s">
        <v>54</v>
      </c>
      <c r="I904" s="48"/>
      <c r="J904" s="48"/>
      <c r="M904" s="2"/>
      <c r="O904"/>
    </row>
    <row r="905" spans="1:15" x14ac:dyDescent="0.25">
      <c r="A905">
        <v>510</v>
      </c>
      <c r="D905" s="2">
        <v>40705</v>
      </c>
      <c r="E905" s="2">
        <v>40705</v>
      </c>
      <c r="F905" s="1"/>
      <c r="G905"/>
      <c r="H905" s="36" t="s">
        <v>63</v>
      </c>
      <c r="I905" s="48"/>
      <c r="J905" s="48"/>
      <c r="M905" s="2"/>
      <c r="O905"/>
    </row>
    <row r="906" spans="1:15" x14ac:dyDescent="0.25">
      <c r="A906">
        <v>511</v>
      </c>
      <c r="D906" s="2">
        <v>151032</v>
      </c>
      <c r="E906" s="2">
        <v>151032</v>
      </c>
      <c r="F906" s="1"/>
      <c r="G906"/>
      <c r="H906" s="36" t="s">
        <v>63</v>
      </c>
      <c r="I906" s="48"/>
      <c r="J906" s="48"/>
      <c r="M906" s="2"/>
      <c r="O906"/>
    </row>
    <row r="907" spans="1:15" x14ac:dyDescent="0.25">
      <c r="A907">
        <v>512</v>
      </c>
      <c r="D907" s="2">
        <v>178190</v>
      </c>
      <c r="E907" s="2">
        <v>178190</v>
      </c>
      <c r="F907" s="1"/>
      <c r="G907"/>
      <c r="H907" s="36" t="s">
        <v>63</v>
      </c>
      <c r="I907" s="48"/>
      <c r="J907" s="48"/>
      <c r="M907" s="2"/>
      <c r="O907"/>
    </row>
    <row r="908" spans="1:15" x14ac:dyDescent="0.25">
      <c r="A908">
        <v>513</v>
      </c>
      <c r="D908" s="2">
        <v>136560</v>
      </c>
      <c r="E908" s="2">
        <v>136560</v>
      </c>
      <c r="F908" s="1"/>
      <c r="G908"/>
      <c r="H908" s="36" t="s">
        <v>63</v>
      </c>
      <c r="I908" s="48"/>
      <c r="J908" s="48"/>
      <c r="M908" s="2"/>
      <c r="O908"/>
    </row>
    <row r="909" spans="1:15" x14ac:dyDescent="0.25">
      <c r="A909">
        <v>515</v>
      </c>
      <c r="D909" s="2">
        <v>418560</v>
      </c>
      <c r="E909" s="2">
        <v>418560</v>
      </c>
      <c r="F909" s="1"/>
      <c r="G909"/>
      <c r="H909" s="36" t="s">
        <v>63</v>
      </c>
      <c r="I909" s="48"/>
      <c r="J909" s="48"/>
      <c r="M909" s="2"/>
      <c r="O909"/>
    </row>
    <row r="910" spans="1:15" x14ac:dyDescent="0.25">
      <c r="A910">
        <v>52</v>
      </c>
      <c r="D910" s="2">
        <v>15600.02</v>
      </c>
      <c r="E910" s="2">
        <v>15600.02</v>
      </c>
      <c r="F910" s="1"/>
      <c r="G910"/>
      <c r="H910" s="36" t="s">
        <v>70</v>
      </c>
      <c r="I910" s="48"/>
      <c r="J910" s="48"/>
      <c r="M910" s="2"/>
      <c r="O910"/>
    </row>
    <row r="911" spans="1:15" x14ac:dyDescent="0.25">
      <c r="A911">
        <v>522</v>
      </c>
      <c r="D911" s="2"/>
      <c r="F911" s="1"/>
      <c r="G911"/>
      <c r="H911" s="36"/>
      <c r="I911" s="48"/>
      <c r="J911" s="48"/>
      <c r="M911" s="2"/>
      <c r="O911"/>
    </row>
    <row r="912" spans="1:15" x14ac:dyDescent="0.25">
      <c r="A912">
        <v>523</v>
      </c>
      <c r="D912" s="2"/>
      <c r="F912" s="1"/>
      <c r="G912"/>
      <c r="H912" s="36"/>
      <c r="I912" s="48"/>
      <c r="J912" s="48"/>
      <c r="M912" s="2"/>
      <c r="O912"/>
    </row>
    <row r="913" spans="1:15" x14ac:dyDescent="0.25">
      <c r="A913">
        <v>524</v>
      </c>
      <c r="D913" s="2"/>
      <c r="F913" s="1"/>
      <c r="G913"/>
      <c r="H913" s="36"/>
      <c r="I913" s="48"/>
      <c r="J913" s="48"/>
      <c r="M913" s="2"/>
      <c r="O913"/>
    </row>
    <row r="914" spans="1:15" x14ac:dyDescent="0.25">
      <c r="A914">
        <v>525</v>
      </c>
      <c r="D914" s="2"/>
      <c r="F914" s="1"/>
      <c r="G914"/>
      <c r="H914" s="36"/>
      <c r="I914" s="48"/>
      <c r="J914" s="48"/>
      <c r="M914" s="2"/>
      <c r="O914"/>
    </row>
    <row r="915" spans="1:15" x14ac:dyDescent="0.25">
      <c r="A915">
        <v>53</v>
      </c>
      <c r="D915" s="2">
        <v>74620.350000000006</v>
      </c>
      <c r="E915" s="2">
        <v>74620.350000000006</v>
      </c>
      <c r="F915" s="1"/>
      <c r="G915"/>
      <c r="H915" s="36" t="s">
        <v>56</v>
      </c>
      <c r="I915" s="48"/>
      <c r="J915" s="48"/>
      <c r="M915" s="2"/>
      <c r="O915"/>
    </row>
    <row r="916" spans="1:15" x14ac:dyDescent="0.25">
      <c r="A916">
        <v>54</v>
      </c>
      <c r="D916" s="2">
        <v>74620.350000000006</v>
      </c>
      <c r="E916" s="2">
        <v>74620.350000000006</v>
      </c>
      <c r="F916" s="1"/>
      <c r="G916"/>
      <c r="H916" s="36" t="s">
        <v>56</v>
      </c>
      <c r="I916" s="48"/>
      <c r="J916" s="48"/>
      <c r="M916" s="2"/>
      <c r="O916"/>
    </row>
    <row r="917" spans="1:15" x14ac:dyDescent="0.25">
      <c r="A917">
        <v>55</v>
      </c>
      <c r="D917" s="2">
        <v>74620.350000000006</v>
      </c>
      <c r="E917" s="2">
        <v>74620.350000000006</v>
      </c>
      <c r="F917" s="1"/>
      <c r="G917"/>
      <c r="H917" s="36" t="s">
        <v>56</v>
      </c>
      <c r="I917" s="48"/>
      <c r="J917" s="48"/>
      <c r="M917" s="2"/>
      <c r="O917"/>
    </row>
    <row r="918" spans="1:15" x14ac:dyDescent="0.25">
      <c r="A918">
        <v>558</v>
      </c>
      <c r="D918" s="2">
        <v>1164797</v>
      </c>
      <c r="E918" s="2">
        <v>1164797</v>
      </c>
      <c r="F918" s="1"/>
      <c r="G918"/>
      <c r="H918" s="36" t="s">
        <v>63</v>
      </c>
      <c r="I918" s="48"/>
      <c r="J918" s="48"/>
      <c r="M918" s="2"/>
      <c r="O918"/>
    </row>
    <row r="919" spans="1:15" x14ac:dyDescent="0.25">
      <c r="A919">
        <v>56</v>
      </c>
      <c r="D919" s="2">
        <v>74620.350000000006</v>
      </c>
      <c r="E919" s="2">
        <v>74620.350000000006</v>
      </c>
      <c r="F919" s="1"/>
      <c r="G919"/>
      <c r="H919" s="36" t="s">
        <v>56</v>
      </c>
      <c r="I919" s="48"/>
      <c r="J919" s="48"/>
      <c r="M919" s="2"/>
      <c r="O919"/>
    </row>
    <row r="920" spans="1:15" x14ac:dyDescent="0.25">
      <c r="A920">
        <v>563</v>
      </c>
      <c r="D920" s="2">
        <v>94500</v>
      </c>
      <c r="E920" s="2">
        <v>94500</v>
      </c>
      <c r="F920" s="1"/>
      <c r="G920"/>
      <c r="H920" s="36" t="s">
        <v>56</v>
      </c>
      <c r="I920" s="48" t="s">
        <v>106</v>
      </c>
      <c r="J920" s="48" t="s">
        <v>107</v>
      </c>
      <c r="M920" s="2"/>
      <c r="O920"/>
    </row>
    <row r="921" spans="1:15" x14ac:dyDescent="0.25">
      <c r="A921">
        <v>57</v>
      </c>
      <c r="D921" s="2">
        <v>74620.350000000006</v>
      </c>
      <c r="E921" s="2">
        <v>74620.350000000006</v>
      </c>
      <c r="F921" s="1"/>
      <c r="G921"/>
      <c r="H921" s="36" t="s">
        <v>56</v>
      </c>
      <c r="I921" s="48"/>
      <c r="J921" s="48"/>
      <c r="M921" s="2"/>
      <c r="O921"/>
    </row>
    <row r="922" spans="1:15" x14ac:dyDescent="0.25">
      <c r="A922">
        <v>58</v>
      </c>
      <c r="D922" s="2">
        <v>74620.350000000006</v>
      </c>
      <c r="E922" s="2">
        <v>74620.350000000006</v>
      </c>
      <c r="F922" s="1"/>
      <c r="G922"/>
      <c r="H922" s="36" t="s">
        <v>56</v>
      </c>
      <c r="I922" s="48"/>
      <c r="J922" s="48"/>
      <c r="M922" s="2"/>
      <c r="O922"/>
    </row>
    <row r="923" spans="1:15" x14ac:dyDescent="0.25">
      <c r="A923">
        <v>6</v>
      </c>
      <c r="D923" s="2">
        <v>53568.030000000006</v>
      </c>
      <c r="E923" s="2">
        <v>53568.030000000006</v>
      </c>
      <c r="F923" s="1"/>
      <c r="G923"/>
      <c r="H923" s="36" t="s">
        <v>54</v>
      </c>
      <c r="I923" s="48"/>
      <c r="J923" s="48"/>
      <c r="M923" s="2"/>
      <c r="O923"/>
    </row>
    <row r="924" spans="1:15" x14ac:dyDescent="0.25">
      <c r="A924">
        <v>600</v>
      </c>
      <c r="D924" s="2">
        <v>17262.990000000002</v>
      </c>
      <c r="E924" s="2">
        <v>17262.990000000002</v>
      </c>
      <c r="F924" s="1"/>
      <c r="G924"/>
      <c r="H924" s="36" t="s">
        <v>54</v>
      </c>
      <c r="I924" s="48" t="s">
        <v>106</v>
      </c>
      <c r="J924" s="48" t="s">
        <v>107</v>
      </c>
      <c r="M924" s="2"/>
      <c r="O924"/>
    </row>
    <row r="925" spans="1:15" x14ac:dyDescent="0.25">
      <c r="A925">
        <v>601</v>
      </c>
      <c r="D925" s="2">
        <v>17262.990000000002</v>
      </c>
      <c r="E925" s="2">
        <v>17262.990000000002</v>
      </c>
      <c r="F925" s="1"/>
      <c r="G925"/>
      <c r="H925" s="36" t="s">
        <v>54</v>
      </c>
      <c r="I925" s="48" t="s">
        <v>106</v>
      </c>
      <c r="J925" s="48" t="s">
        <v>107</v>
      </c>
      <c r="M925" s="2"/>
      <c r="O925"/>
    </row>
    <row r="926" spans="1:15" x14ac:dyDescent="0.25">
      <c r="A926">
        <v>61</v>
      </c>
      <c r="D926" s="2">
        <v>2166.3200000000002</v>
      </c>
      <c r="E926" s="2">
        <v>2166.3200000000002</v>
      </c>
      <c r="F926" s="1"/>
      <c r="G926"/>
      <c r="H926" s="36" t="s">
        <v>54</v>
      </c>
      <c r="I926" s="48"/>
      <c r="J926" s="48"/>
      <c r="M926" s="2"/>
      <c r="O926"/>
    </row>
    <row r="927" spans="1:15" x14ac:dyDescent="0.25">
      <c r="A927">
        <v>62</v>
      </c>
      <c r="D927" s="2">
        <v>5585</v>
      </c>
      <c r="E927" s="2">
        <v>5585</v>
      </c>
      <c r="F927" s="1"/>
      <c r="G927"/>
      <c r="H927" s="36" t="s">
        <v>53</v>
      </c>
      <c r="I927" s="48"/>
      <c r="J927" s="48"/>
      <c r="M927" s="2"/>
      <c r="O927"/>
    </row>
    <row r="928" spans="1:15" x14ac:dyDescent="0.25">
      <c r="A928">
        <v>63</v>
      </c>
      <c r="D928" s="2">
        <v>14120.650000000001</v>
      </c>
      <c r="E928" s="2">
        <v>14120.650000000001</v>
      </c>
      <c r="F928" s="1"/>
      <c r="G928"/>
      <c r="H928" s="36" t="s">
        <v>53</v>
      </c>
      <c r="I928" s="48"/>
      <c r="J928" s="48"/>
      <c r="M928" s="2"/>
      <c r="O928"/>
    </row>
    <row r="929" spans="1:15" x14ac:dyDescent="0.25">
      <c r="A929">
        <v>64</v>
      </c>
      <c r="D929" s="2">
        <v>16357.17</v>
      </c>
      <c r="E929" s="2">
        <v>16357.17</v>
      </c>
      <c r="F929" s="1"/>
      <c r="G929"/>
      <c r="H929" s="36" t="s">
        <v>53</v>
      </c>
      <c r="I929" s="48"/>
      <c r="J929" s="48"/>
      <c r="M929" s="2"/>
      <c r="O929"/>
    </row>
    <row r="930" spans="1:15" x14ac:dyDescent="0.25">
      <c r="A930">
        <v>643</v>
      </c>
      <c r="D930" s="2">
        <v>1152.6400000000001</v>
      </c>
      <c r="E930" s="2">
        <v>1152.6400000000001</v>
      </c>
      <c r="F930" s="1"/>
      <c r="G930"/>
      <c r="H930" s="36" t="s">
        <v>96</v>
      </c>
      <c r="I930" s="48" t="s">
        <v>120</v>
      </c>
      <c r="J930" s="48" t="s">
        <v>120</v>
      </c>
      <c r="M930" s="2"/>
      <c r="O930"/>
    </row>
    <row r="931" spans="1:15" x14ac:dyDescent="0.25">
      <c r="A931">
        <v>65</v>
      </c>
      <c r="D931" s="2">
        <v>16273.26</v>
      </c>
      <c r="E931" s="2">
        <v>16273.26</v>
      </c>
      <c r="F931" s="1"/>
      <c r="G931"/>
      <c r="H931" s="36" t="s">
        <v>53</v>
      </c>
      <c r="I931" s="48"/>
      <c r="J931" s="48"/>
      <c r="M931" s="2"/>
      <c r="O931"/>
    </row>
    <row r="932" spans="1:15" x14ac:dyDescent="0.25">
      <c r="A932">
        <v>659</v>
      </c>
      <c r="D932" s="2">
        <v>27558.95</v>
      </c>
      <c r="E932" s="2">
        <v>27558.95</v>
      </c>
      <c r="F932" s="1"/>
      <c r="G932"/>
      <c r="H932" s="36" t="s">
        <v>57</v>
      </c>
      <c r="I932" s="48"/>
      <c r="J932" s="48"/>
      <c r="M932" s="2"/>
      <c r="O932"/>
    </row>
    <row r="933" spans="1:15" x14ac:dyDescent="0.25">
      <c r="A933">
        <v>66</v>
      </c>
      <c r="D933" s="2">
        <v>25654.77</v>
      </c>
      <c r="E933" s="2">
        <v>25654.77</v>
      </c>
      <c r="F933" s="1"/>
      <c r="G933"/>
      <c r="H933" s="36" t="s">
        <v>53</v>
      </c>
      <c r="I933" s="48"/>
      <c r="J933" s="48"/>
      <c r="M933" s="2"/>
      <c r="O933"/>
    </row>
    <row r="934" spans="1:15" x14ac:dyDescent="0.25">
      <c r="A934">
        <v>661</v>
      </c>
      <c r="D934" s="2">
        <v>446875.62</v>
      </c>
      <c r="E934" s="2">
        <v>446875.62</v>
      </c>
      <c r="F934" s="1"/>
      <c r="G934"/>
      <c r="H934" s="36" t="s">
        <v>59</v>
      </c>
      <c r="I934" s="48" t="s">
        <v>106</v>
      </c>
      <c r="J934" s="48" t="s">
        <v>107</v>
      </c>
      <c r="M934" s="2"/>
      <c r="O934"/>
    </row>
    <row r="935" spans="1:15" x14ac:dyDescent="0.25">
      <c r="A935">
        <v>662</v>
      </c>
      <c r="D935" s="2">
        <v>446875.62</v>
      </c>
      <c r="E935" s="2">
        <v>446875.62</v>
      </c>
      <c r="F935" s="1"/>
      <c r="G935"/>
      <c r="H935" s="36" t="s">
        <v>59</v>
      </c>
      <c r="I935" s="48" t="s">
        <v>106</v>
      </c>
      <c r="J935" s="48" t="s">
        <v>107</v>
      </c>
      <c r="M935" s="2"/>
      <c r="O935"/>
    </row>
    <row r="936" spans="1:15" x14ac:dyDescent="0.25">
      <c r="A936">
        <v>663</v>
      </c>
      <c r="D936" s="2">
        <v>446875.62</v>
      </c>
      <c r="E936" s="2">
        <v>446875.62</v>
      </c>
      <c r="F936" s="1"/>
      <c r="G936"/>
      <c r="H936" s="36" t="s">
        <v>59</v>
      </c>
      <c r="I936" s="48" t="s">
        <v>106</v>
      </c>
      <c r="J936" s="48" t="s">
        <v>107</v>
      </c>
      <c r="M936" s="2"/>
      <c r="O936"/>
    </row>
    <row r="937" spans="1:15" x14ac:dyDescent="0.25">
      <c r="A937">
        <v>664</v>
      </c>
      <c r="D937" s="2">
        <v>446875.62</v>
      </c>
      <c r="E937" s="2">
        <v>446875.62</v>
      </c>
      <c r="F937" s="1"/>
      <c r="G937"/>
      <c r="H937" s="36" t="s">
        <v>59</v>
      </c>
      <c r="I937" s="48" t="s">
        <v>106</v>
      </c>
      <c r="J937" s="48" t="s">
        <v>107</v>
      </c>
      <c r="M937" s="2"/>
      <c r="O937"/>
    </row>
    <row r="938" spans="1:15" x14ac:dyDescent="0.25">
      <c r="A938">
        <v>667</v>
      </c>
      <c r="D938" s="2">
        <v>5200</v>
      </c>
      <c r="E938" s="2">
        <v>5200</v>
      </c>
      <c r="F938" s="1"/>
      <c r="G938"/>
      <c r="H938" s="36" t="s">
        <v>69</v>
      </c>
      <c r="I938" s="48"/>
      <c r="J938" s="48"/>
      <c r="M938" s="2"/>
      <c r="O938"/>
    </row>
    <row r="939" spans="1:15" x14ac:dyDescent="0.25">
      <c r="A939">
        <v>668</v>
      </c>
      <c r="D939" s="2">
        <v>175265.98</v>
      </c>
      <c r="E939" s="2">
        <v>175265.98</v>
      </c>
      <c r="F939" s="1"/>
      <c r="G939"/>
      <c r="H939" s="36" t="s">
        <v>56</v>
      </c>
      <c r="I939" s="48" t="s">
        <v>106</v>
      </c>
      <c r="J939" s="48" t="s">
        <v>107</v>
      </c>
      <c r="M939" s="2"/>
      <c r="O939"/>
    </row>
    <row r="940" spans="1:15" x14ac:dyDescent="0.25">
      <c r="A940">
        <v>671</v>
      </c>
      <c r="D940" s="2">
        <v>84005.36</v>
      </c>
      <c r="E940" s="2">
        <v>84005.36</v>
      </c>
      <c r="F940" s="1"/>
      <c r="G940"/>
      <c r="H940" s="36" t="s">
        <v>56</v>
      </c>
      <c r="I940" s="48" t="s">
        <v>106</v>
      </c>
      <c r="J940" s="48" t="s">
        <v>107</v>
      </c>
      <c r="M940" s="2"/>
      <c r="O940"/>
    </row>
    <row r="941" spans="1:15" x14ac:dyDescent="0.25">
      <c r="A941">
        <v>672</v>
      </c>
      <c r="D941" s="2">
        <v>41061.230000000003</v>
      </c>
      <c r="E941" s="2">
        <v>41061.230000000003</v>
      </c>
      <c r="F941" s="1"/>
      <c r="G941"/>
      <c r="H941" s="36" t="s">
        <v>56</v>
      </c>
      <c r="I941" s="48" t="s">
        <v>106</v>
      </c>
      <c r="J941" s="48" t="s">
        <v>107</v>
      </c>
      <c r="M941" s="2"/>
      <c r="O941"/>
    </row>
    <row r="942" spans="1:15" x14ac:dyDescent="0.25">
      <c r="A942">
        <v>673</v>
      </c>
      <c r="D942" s="2">
        <v>41061.230000000003</v>
      </c>
      <c r="E942" s="2">
        <v>41061.230000000003</v>
      </c>
      <c r="F942" s="1"/>
      <c r="G942"/>
      <c r="H942" s="36" t="s">
        <v>56</v>
      </c>
      <c r="I942" s="48" t="s">
        <v>106</v>
      </c>
      <c r="J942" s="48" t="s">
        <v>107</v>
      </c>
      <c r="M942" s="2"/>
      <c r="O942"/>
    </row>
    <row r="943" spans="1:15" x14ac:dyDescent="0.25">
      <c r="A943">
        <v>68</v>
      </c>
      <c r="D943" s="2">
        <v>56250.560000000005</v>
      </c>
      <c r="E943" s="2">
        <v>56250.560000000005</v>
      </c>
      <c r="F943" s="1"/>
      <c r="G943"/>
      <c r="H943" s="36" t="s">
        <v>53</v>
      </c>
      <c r="I943" s="48"/>
      <c r="J943" s="48"/>
      <c r="M943" s="2"/>
      <c r="O943"/>
    </row>
    <row r="944" spans="1:15" x14ac:dyDescent="0.25">
      <c r="A944">
        <v>684</v>
      </c>
      <c r="D944" s="2">
        <v>88169.21</v>
      </c>
      <c r="E944" s="2">
        <v>88169.21</v>
      </c>
      <c r="F944" s="1"/>
      <c r="G944"/>
      <c r="H944" s="36" t="s">
        <v>56</v>
      </c>
      <c r="I944" s="48" t="s">
        <v>106</v>
      </c>
      <c r="J944" s="48" t="s">
        <v>107</v>
      </c>
      <c r="M944" s="2"/>
      <c r="O944"/>
    </row>
    <row r="945" spans="1:15" x14ac:dyDescent="0.25">
      <c r="A945">
        <v>686</v>
      </c>
      <c r="D945" s="2">
        <v>20000</v>
      </c>
      <c r="E945" s="2">
        <v>20000</v>
      </c>
      <c r="F945" s="1"/>
      <c r="G945"/>
      <c r="H945" s="36" t="s">
        <v>57</v>
      </c>
      <c r="I945" s="48"/>
      <c r="J945" s="48"/>
      <c r="M945" s="2"/>
      <c r="O945"/>
    </row>
    <row r="946" spans="1:15" x14ac:dyDescent="0.25">
      <c r="A946">
        <v>687</v>
      </c>
      <c r="D946" s="2">
        <v>20000</v>
      </c>
      <c r="E946" s="2">
        <v>20000</v>
      </c>
      <c r="F946" s="1"/>
      <c r="G946"/>
      <c r="H946" s="36" t="s">
        <v>57</v>
      </c>
      <c r="I946" s="48"/>
      <c r="J946" s="48"/>
      <c r="M946" s="2"/>
      <c r="O946"/>
    </row>
    <row r="947" spans="1:15" x14ac:dyDescent="0.25">
      <c r="A947">
        <v>688</v>
      </c>
      <c r="D947" s="2">
        <v>20000</v>
      </c>
      <c r="E947" s="2">
        <v>20000</v>
      </c>
      <c r="F947" s="1"/>
      <c r="G947"/>
      <c r="H947" s="36" t="s">
        <v>57</v>
      </c>
      <c r="I947" s="48"/>
      <c r="J947" s="48"/>
      <c r="M947" s="2"/>
      <c r="O947"/>
    </row>
    <row r="948" spans="1:15" x14ac:dyDescent="0.25">
      <c r="A948">
        <v>69</v>
      </c>
      <c r="D948" s="2">
        <v>56250.560000000005</v>
      </c>
      <c r="E948" s="2">
        <v>56250.560000000005</v>
      </c>
      <c r="F948" s="1"/>
      <c r="G948"/>
      <c r="H948" s="36" t="s">
        <v>53</v>
      </c>
      <c r="I948" s="48"/>
      <c r="J948" s="48"/>
      <c r="M948" s="2"/>
      <c r="O948"/>
    </row>
    <row r="949" spans="1:15" x14ac:dyDescent="0.25">
      <c r="A949">
        <v>698</v>
      </c>
      <c r="D949" s="2">
        <v>100574.14</v>
      </c>
      <c r="E949" s="2">
        <v>100574.14</v>
      </c>
      <c r="F949" s="1"/>
      <c r="G949"/>
      <c r="H949" s="36" t="s">
        <v>56</v>
      </c>
      <c r="I949" s="48" t="s">
        <v>106</v>
      </c>
      <c r="J949" s="48" t="s">
        <v>107</v>
      </c>
      <c r="M949" s="2"/>
      <c r="O949"/>
    </row>
    <row r="950" spans="1:15" x14ac:dyDescent="0.25">
      <c r="A950">
        <v>7</v>
      </c>
      <c r="D950" s="2">
        <v>36776.47</v>
      </c>
      <c r="E950" s="2">
        <v>36776.47</v>
      </c>
      <c r="F950" s="1"/>
      <c r="G950"/>
      <c r="H950" s="36" t="s">
        <v>54</v>
      </c>
      <c r="I950" s="48"/>
      <c r="J950" s="48"/>
      <c r="M950" s="2"/>
      <c r="O950"/>
    </row>
    <row r="951" spans="1:15" x14ac:dyDescent="0.25">
      <c r="A951">
        <v>70</v>
      </c>
      <c r="D951" s="2">
        <v>5585</v>
      </c>
      <c r="E951" s="2">
        <v>5585</v>
      </c>
      <c r="F951" s="1"/>
      <c r="G951"/>
      <c r="H951" s="36" t="s">
        <v>53</v>
      </c>
      <c r="I951" s="48"/>
      <c r="J951" s="48"/>
      <c r="M951" s="2"/>
      <c r="O951"/>
    </row>
    <row r="952" spans="1:15" x14ac:dyDescent="0.25">
      <c r="A952">
        <v>707</v>
      </c>
      <c r="D952" s="2">
        <v>2100</v>
      </c>
      <c r="E952" s="2">
        <v>2100</v>
      </c>
      <c r="F952" s="1"/>
      <c r="G952"/>
      <c r="H952" s="36" t="s">
        <v>105</v>
      </c>
      <c r="I952" s="48"/>
      <c r="J952" s="48"/>
      <c r="M952" s="2"/>
      <c r="O952"/>
    </row>
    <row r="953" spans="1:15" x14ac:dyDescent="0.25">
      <c r="A953">
        <v>709</v>
      </c>
      <c r="D953" s="2">
        <v>42121.05</v>
      </c>
      <c r="E953" s="2">
        <v>42121.05</v>
      </c>
      <c r="F953" s="1"/>
      <c r="G953"/>
      <c r="H953" s="36" t="s">
        <v>54</v>
      </c>
      <c r="I953" s="48"/>
      <c r="J953" s="48"/>
      <c r="M953" s="2"/>
      <c r="O953"/>
    </row>
    <row r="954" spans="1:15" x14ac:dyDescent="0.25">
      <c r="A954">
        <v>71</v>
      </c>
      <c r="D954" s="2">
        <v>14120.650000000001</v>
      </c>
      <c r="E954" s="2">
        <v>14120.650000000001</v>
      </c>
      <c r="F954" s="1"/>
      <c r="G954"/>
      <c r="H954" s="36" t="s">
        <v>53</v>
      </c>
      <c r="I954" s="48"/>
      <c r="J954" s="48"/>
      <c r="M954" s="2"/>
      <c r="O954"/>
    </row>
    <row r="955" spans="1:15" x14ac:dyDescent="0.25">
      <c r="A955">
        <v>711</v>
      </c>
      <c r="D955" s="2">
        <v>41666.94</v>
      </c>
      <c r="E955" s="2">
        <v>41666.94</v>
      </c>
      <c r="F955" s="1"/>
      <c r="G955"/>
      <c r="H955" s="36" t="s">
        <v>54</v>
      </c>
      <c r="I955" s="48"/>
      <c r="J955" s="48"/>
      <c r="M955" s="2"/>
      <c r="O955"/>
    </row>
    <row r="956" spans="1:15" x14ac:dyDescent="0.25">
      <c r="A956">
        <v>712</v>
      </c>
      <c r="D956" s="2">
        <v>41666.94</v>
      </c>
      <c r="E956" s="2">
        <v>41666.94</v>
      </c>
      <c r="F956" s="1"/>
      <c r="G956"/>
      <c r="H956" s="36" t="s">
        <v>54</v>
      </c>
      <c r="I956" s="48"/>
      <c r="J956" s="48"/>
      <c r="M956" s="2"/>
      <c r="O956"/>
    </row>
    <row r="957" spans="1:15" x14ac:dyDescent="0.25">
      <c r="A957">
        <v>713</v>
      </c>
      <c r="D957" s="2">
        <v>41666.94</v>
      </c>
      <c r="E957" s="2">
        <v>41666.94</v>
      </c>
      <c r="F957" s="1"/>
      <c r="G957"/>
      <c r="H957" s="36" t="s">
        <v>54</v>
      </c>
      <c r="I957" s="48"/>
      <c r="J957" s="48"/>
      <c r="M957" s="2"/>
      <c r="O957"/>
    </row>
    <row r="958" spans="1:15" x14ac:dyDescent="0.25">
      <c r="A958">
        <v>717</v>
      </c>
      <c r="D958" s="2">
        <v>130879.69</v>
      </c>
      <c r="E958" s="2">
        <v>130879.69</v>
      </c>
      <c r="F958" s="1"/>
      <c r="G958"/>
      <c r="H958" s="36" t="s">
        <v>54</v>
      </c>
      <c r="I958" s="48" t="s">
        <v>106</v>
      </c>
      <c r="J958" s="48" t="s">
        <v>107</v>
      </c>
      <c r="M958" s="2"/>
      <c r="O958"/>
    </row>
    <row r="959" spans="1:15" x14ac:dyDescent="0.25">
      <c r="A959">
        <v>72</v>
      </c>
      <c r="D959" s="2">
        <v>16357.28</v>
      </c>
      <c r="E959" s="2">
        <v>16357.28</v>
      </c>
      <c r="F959" s="1"/>
      <c r="G959"/>
      <c r="H959" s="36" t="s">
        <v>53</v>
      </c>
      <c r="I959" s="48"/>
      <c r="J959" s="48"/>
      <c r="M959" s="2"/>
      <c r="O959"/>
    </row>
    <row r="960" spans="1:15" x14ac:dyDescent="0.25">
      <c r="A960">
        <v>727</v>
      </c>
      <c r="D960" s="2">
        <v>23726.78</v>
      </c>
      <c r="E960" s="2">
        <v>23726.78</v>
      </c>
      <c r="F960" s="1"/>
      <c r="G960"/>
      <c r="H960" s="36" t="s">
        <v>56</v>
      </c>
      <c r="I960" s="48" t="s">
        <v>106</v>
      </c>
      <c r="J960" s="48" t="s">
        <v>107</v>
      </c>
      <c r="M960" s="2"/>
      <c r="O960"/>
    </row>
    <row r="961" spans="1:15" x14ac:dyDescent="0.25">
      <c r="A961">
        <v>73</v>
      </c>
      <c r="D961" s="2">
        <v>21212.22</v>
      </c>
      <c r="E961" s="2">
        <v>21212.22</v>
      </c>
      <c r="F961" s="1"/>
      <c r="G961"/>
      <c r="H961" s="36" t="s">
        <v>53</v>
      </c>
      <c r="I961" s="48"/>
      <c r="J961" s="48"/>
      <c r="M961" s="2"/>
      <c r="O961"/>
    </row>
    <row r="962" spans="1:15" x14ac:dyDescent="0.25">
      <c r="A962">
        <v>737</v>
      </c>
      <c r="D962" s="2">
        <v>23726.78</v>
      </c>
      <c r="E962" s="2">
        <v>23726.78</v>
      </c>
      <c r="F962" s="1"/>
      <c r="G962"/>
      <c r="H962" s="36" t="s">
        <v>56</v>
      </c>
      <c r="I962" s="48" t="s">
        <v>106</v>
      </c>
      <c r="J962" s="48" t="s">
        <v>107</v>
      </c>
      <c r="M962" s="2"/>
      <c r="O962"/>
    </row>
    <row r="963" spans="1:15" x14ac:dyDescent="0.25">
      <c r="A963">
        <v>74</v>
      </c>
      <c r="D963" s="2">
        <v>19380.25</v>
      </c>
      <c r="E963" s="2">
        <v>19380.25</v>
      </c>
      <c r="F963" s="1"/>
      <c r="G963"/>
      <c r="H963" s="36" t="s">
        <v>53</v>
      </c>
      <c r="I963" s="48"/>
      <c r="J963" s="48"/>
      <c r="M963" s="2"/>
      <c r="O963"/>
    </row>
    <row r="964" spans="1:15" x14ac:dyDescent="0.25">
      <c r="A964">
        <v>742</v>
      </c>
      <c r="D964" s="2">
        <v>23726.78</v>
      </c>
      <c r="E964" s="2">
        <v>23726.78</v>
      </c>
      <c r="F964" s="1"/>
      <c r="G964"/>
      <c r="H964" s="36" t="s">
        <v>56</v>
      </c>
      <c r="I964" s="48" t="s">
        <v>106</v>
      </c>
      <c r="J964" s="48" t="s">
        <v>107</v>
      </c>
      <c r="M964" s="2"/>
      <c r="O964"/>
    </row>
    <row r="965" spans="1:15" x14ac:dyDescent="0.25">
      <c r="A965">
        <v>743</v>
      </c>
      <c r="D965" s="2">
        <v>50293.32</v>
      </c>
      <c r="E965" s="2">
        <v>50293.32</v>
      </c>
      <c r="F965" s="1"/>
      <c r="G965"/>
      <c r="H965" s="36" t="s">
        <v>56</v>
      </c>
      <c r="I965" s="48" t="s">
        <v>106</v>
      </c>
      <c r="J965" s="48" t="s">
        <v>107</v>
      </c>
      <c r="M965" s="2"/>
      <c r="O965"/>
    </row>
    <row r="966" spans="1:15" x14ac:dyDescent="0.25">
      <c r="A966">
        <v>744</v>
      </c>
      <c r="D966" s="2">
        <v>50293.32</v>
      </c>
      <c r="E966" s="2">
        <v>50293.32</v>
      </c>
      <c r="F966" s="1"/>
      <c r="G966"/>
      <c r="H966" s="36" t="s">
        <v>56</v>
      </c>
      <c r="I966" s="48" t="s">
        <v>106</v>
      </c>
      <c r="J966" s="48" t="s">
        <v>107</v>
      </c>
      <c r="M966" s="2"/>
      <c r="O966"/>
    </row>
    <row r="967" spans="1:15" x14ac:dyDescent="0.25">
      <c r="A967">
        <v>745</v>
      </c>
      <c r="D967" s="2">
        <v>859306.43</v>
      </c>
      <c r="E967" s="2">
        <v>859306.43</v>
      </c>
      <c r="F967" s="1"/>
      <c r="G967"/>
      <c r="H967" s="36" t="s">
        <v>56</v>
      </c>
      <c r="I967" s="48"/>
      <c r="J967" s="48"/>
      <c r="M967" s="2"/>
      <c r="O967"/>
    </row>
    <row r="968" spans="1:15" x14ac:dyDescent="0.25">
      <c r="A968">
        <v>746</v>
      </c>
      <c r="D968" s="2">
        <v>145055.84</v>
      </c>
      <c r="E968" s="2">
        <v>145055.84</v>
      </c>
      <c r="F968" s="1"/>
      <c r="G968"/>
      <c r="H968" s="36" t="s">
        <v>56</v>
      </c>
      <c r="I968" s="48"/>
      <c r="J968" s="48"/>
      <c r="M968" s="2"/>
      <c r="O968"/>
    </row>
    <row r="969" spans="1:15" x14ac:dyDescent="0.25">
      <c r="A969">
        <v>747</v>
      </c>
      <c r="D969" s="2">
        <v>290111.68</v>
      </c>
      <c r="E969" s="2">
        <v>290111.68</v>
      </c>
      <c r="F969" s="1"/>
      <c r="G969"/>
      <c r="H969" s="36" t="s">
        <v>56</v>
      </c>
      <c r="I969" s="48"/>
      <c r="J969" s="48"/>
      <c r="M969" s="2"/>
      <c r="O969"/>
    </row>
    <row r="970" spans="1:15" x14ac:dyDescent="0.25">
      <c r="A970">
        <v>748</v>
      </c>
      <c r="D970" s="2">
        <v>145055.84</v>
      </c>
      <c r="E970" s="2">
        <v>145055.84</v>
      </c>
      <c r="F970" s="1"/>
      <c r="G970"/>
      <c r="H970" s="36" t="s">
        <v>56</v>
      </c>
      <c r="I970" s="48"/>
      <c r="J970" s="48"/>
      <c r="M970" s="2"/>
      <c r="O970"/>
    </row>
    <row r="971" spans="1:15" x14ac:dyDescent="0.25">
      <c r="A971">
        <v>749</v>
      </c>
      <c r="D971" s="2">
        <v>145055.84</v>
      </c>
      <c r="E971" s="2">
        <v>145055.84</v>
      </c>
      <c r="F971" s="1"/>
      <c r="G971"/>
      <c r="H971" s="36" t="s">
        <v>56</v>
      </c>
      <c r="I971" s="48"/>
      <c r="J971" s="48"/>
      <c r="M971" s="2"/>
      <c r="O971"/>
    </row>
    <row r="972" spans="1:15" x14ac:dyDescent="0.25">
      <c r="A972">
        <v>75</v>
      </c>
      <c r="D972" s="2">
        <v>38760.5</v>
      </c>
      <c r="E972" s="2">
        <v>38760.5</v>
      </c>
      <c r="F972" s="1"/>
      <c r="G972"/>
      <c r="H972" s="36" t="s">
        <v>53</v>
      </c>
      <c r="I972" s="48"/>
      <c r="J972" s="48"/>
      <c r="M972" s="2"/>
      <c r="O972"/>
    </row>
    <row r="973" spans="1:15" x14ac:dyDescent="0.25">
      <c r="A973">
        <v>755</v>
      </c>
      <c r="D973" s="2">
        <v>51145.75</v>
      </c>
      <c r="E973" s="2">
        <v>51145.75</v>
      </c>
      <c r="F973" s="1"/>
      <c r="G973"/>
      <c r="H973" s="36" t="s">
        <v>56</v>
      </c>
      <c r="I973" s="48"/>
      <c r="J973" s="48"/>
      <c r="M973" s="2"/>
      <c r="O973"/>
    </row>
    <row r="974" spans="1:15" x14ac:dyDescent="0.25">
      <c r="A974">
        <v>756</v>
      </c>
      <c r="D974" s="2">
        <v>51145.75</v>
      </c>
      <c r="E974" s="2">
        <v>51145.75</v>
      </c>
      <c r="F974" s="1"/>
      <c r="G974"/>
      <c r="H974" s="36" t="s">
        <v>56</v>
      </c>
      <c r="I974" s="48"/>
      <c r="J974" s="48"/>
      <c r="M974" s="2"/>
      <c r="O974"/>
    </row>
    <row r="975" spans="1:15" x14ac:dyDescent="0.25">
      <c r="A975">
        <v>757</v>
      </c>
      <c r="D975" s="2">
        <v>335668.47999999998</v>
      </c>
      <c r="E975" s="2">
        <v>335668.47999999998</v>
      </c>
      <c r="F975" s="1"/>
      <c r="G975"/>
      <c r="H975" s="36" t="s">
        <v>59</v>
      </c>
      <c r="I975" s="48"/>
      <c r="J975" s="48"/>
      <c r="M975" s="2"/>
      <c r="O975"/>
    </row>
    <row r="976" spans="1:15" x14ac:dyDescent="0.25">
      <c r="A976">
        <v>758</v>
      </c>
      <c r="D976" s="2"/>
      <c r="F976" s="1"/>
      <c r="G976"/>
      <c r="H976" s="36"/>
      <c r="I976" s="48"/>
      <c r="J976" s="48"/>
      <c r="M976" s="2"/>
      <c r="O976"/>
    </row>
    <row r="977" spans="1:15" x14ac:dyDescent="0.25">
      <c r="A977">
        <v>76</v>
      </c>
      <c r="D977" s="2">
        <v>38760.5</v>
      </c>
      <c r="E977" s="2">
        <v>38760.5</v>
      </c>
      <c r="F977" s="1"/>
      <c r="G977"/>
      <c r="H977" s="36" t="s">
        <v>53</v>
      </c>
      <c r="I977" s="48"/>
      <c r="J977" s="48"/>
      <c r="M977" s="2"/>
      <c r="O977"/>
    </row>
    <row r="978" spans="1:15" x14ac:dyDescent="0.25">
      <c r="A978">
        <v>760</v>
      </c>
      <c r="D978" s="2"/>
      <c r="F978" s="1"/>
      <c r="G978"/>
      <c r="H978" s="36"/>
      <c r="I978" s="48"/>
      <c r="J978" s="48"/>
      <c r="M978" s="2"/>
      <c r="O978"/>
    </row>
    <row r="979" spans="1:15" x14ac:dyDescent="0.25">
      <c r="A979">
        <v>761</v>
      </c>
      <c r="D979" s="2">
        <v>1694691.95</v>
      </c>
      <c r="E979" s="2">
        <v>1694691.95</v>
      </c>
      <c r="F979" s="1"/>
      <c r="G979"/>
      <c r="H979" s="36" t="s">
        <v>59</v>
      </c>
      <c r="I979" s="48"/>
      <c r="J979" s="48"/>
      <c r="M979" s="2"/>
      <c r="O979"/>
    </row>
    <row r="980" spans="1:15" x14ac:dyDescent="0.25">
      <c r="A980">
        <v>762</v>
      </c>
      <c r="D980" s="2">
        <v>1694691.95</v>
      </c>
      <c r="E980" s="2">
        <v>1694691.95</v>
      </c>
      <c r="F980" s="1"/>
      <c r="G980"/>
      <c r="H980" s="36" t="s">
        <v>59</v>
      </c>
      <c r="I980" s="48"/>
      <c r="J980" s="48"/>
      <c r="M980" s="2"/>
      <c r="O980"/>
    </row>
    <row r="981" spans="1:15" x14ac:dyDescent="0.25">
      <c r="A981">
        <v>764</v>
      </c>
      <c r="D981" s="2">
        <v>137996.71</v>
      </c>
      <c r="E981" s="2">
        <v>137996.71</v>
      </c>
      <c r="F981" s="1"/>
      <c r="G981"/>
      <c r="H981" s="36" t="s">
        <v>59</v>
      </c>
      <c r="I981" s="48"/>
      <c r="J981" s="48"/>
      <c r="M981" s="2"/>
      <c r="O981"/>
    </row>
    <row r="982" spans="1:15" x14ac:dyDescent="0.25">
      <c r="A982">
        <v>765</v>
      </c>
      <c r="D982" s="2">
        <v>94729.82</v>
      </c>
      <c r="E982" s="2">
        <v>94729.82</v>
      </c>
      <c r="F982" s="1"/>
      <c r="G982"/>
      <c r="H982" s="36" t="s">
        <v>59</v>
      </c>
      <c r="I982" s="48"/>
      <c r="J982" s="48"/>
      <c r="M982" s="2"/>
      <c r="O982"/>
    </row>
    <row r="983" spans="1:15" x14ac:dyDescent="0.25">
      <c r="A983">
        <v>766</v>
      </c>
      <c r="D983" s="2">
        <v>85531.15</v>
      </c>
      <c r="E983" s="2">
        <v>85531.15</v>
      </c>
      <c r="F983" s="1"/>
      <c r="G983"/>
      <c r="H983" s="36" t="s">
        <v>59</v>
      </c>
      <c r="I983" s="48"/>
      <c r="J983" s="48"/>
      <c r="M983" s="2"/>
      <c r="O983"/>
    </row>
    <row r="984" spans="1:15" x14ac:dyDescent="0.25">
      <c r="A984">
        <v>767</v>
      </c>
      <c r="D984" s="2">
        <v>88069.97</v>
      </c>
      <c r="E984" s="2">
        <v>88069.97</v>
      </c>
      <c r="F984" s="1"/>
      <c r="G984"/>
      <c r="H984" s="36" t="s">
        <v>59</v>
      </c>
      <c r="I984" s="48"/>
      <c r="J984" s="48"/>
      <c r="M984" s="2"/>
      <c r="O984"/>
    </row>
    <row r="985" spans="1:15" x14ac:dyDescent="0.25">
      <c r="A985">
        <v>768</v>
      </c>
      <c r="D985" s="2">
        <v>183995.62</v>
      </c>
      <c r="E985" s="2">
        <v>183995.62</v>
      </c>
      <c r="F985" s="1"/>
      <c r="G985"/>
      <c r="H985" s="36" t="s">
        <v>59</v>
      </c>
      <c r="I985" s="48"/>
      <c r="J985" s="48"/>
      <c r="M985" s="2"/>
      <c r="O985"/>
    </row>
    <row r="986" spans="1:15" x14ac:dyDescent="0.25">
      <c r="A986">
        <v>769</v>
      </c>
      <c r="D986" s="2">
        <v>26905.54</v>
      </c>
      <c r="E986" s="2">
        <v>26905.54</v>
      </c>
      <c r="F986" s="1"/>
      <c r="G986"/>
      <c r="H986" s="36" t="s">
        <v>59</v>
      </c>
      <c r="I986" s="48"/>
      <c r="J986" s="48"/>
      <c r="M986" s="2"/>
      <c r="O986"/>
    </row>
    <row r="987" spans="1:15" x14ac:dyDescent="0.25">
      <c r="A987">
        <v>77</v>
      </c>
      <c r="D987" s="2">
        <v>38760.5</v>
      </c>
      <c r="E987" s="2">
        <v>38760.5</v>
      </c>
      <c r="F987" s="1"/>
      <c r="G987"/>
      <c r="H987" s="36" t="s">
        <v>53</v>
      </c>
      <c r="I987" s="48"/>
      <c r="J987" s="48"/>
      <c r="M987" s="2"/>
      <c r="O987"/>
    </row>
    <row r="988" spans="1:15" x14ac:dyDescent="0.25">
      <c r="A988">
        <v>770</v>
      </c>
      <c r="D988" s="2">
        <v>66052.479999999996</v>
      </c>
      <c r="E988" s="2">
        <v>66052.479999999996</v>
      </c>
      <c r="F988" s="1"/>
      <c r="G988"/>
      <c r="H988" s="36" t="s">
        <v>59</v>
      </c>
      <c r="I988" s="48"/>
      <c r="J988" s="48"/>
      <c r="M988" s="2"/>
      <c r="O988"/>
    </row>
    <row r="989" spans="1:15" x14ac:dyDescent="0.25">
      <c r="A989">
        <v>771</v>
      </c>
      <c r="D989" s="2">
        <v>20179.150000000001</v>
      </c>
      <c r="E989" s="2">
        <v>20179.150000000001</v>
      </c>
      <c r="F989" s="1"/>
      <c r="G989"/>
      <c r="H989" s="36" t="s">
        <v>59</v>
      </c>
      <c r="I989" s="48"/>
      <c r="J989" s="48"/>
      <c r="M989" s="2"/>
      <c r="O989"/>
    </row>
    <row r="990" spans="1:15" x14ac:dyDescent="0.25">
      <c r="A990">
        <v>772</v>
      </c>
      <c r="D990" s="2">
        <v>64148.36</v>
      </c>
      <c r="E990" s="2">
        <v>64148.36</v>
      </c>
      <c r="F990" s="1"/>
      <c r="G990"/>
      <c r="H990" s="36" t="s">
        <v>59</v>
      </c>
      <c r="I990" s="48"/>
      <c r="J990" s="48"/>
      <c r="M990" s="2"/>
      <c r="O990"/>
    </row>
    <row r="991" spans="1:15" x14ac:dyDescent="0.25">
      <c r="A991">
        <v>773</v>
      </c>
      <c r="D991" s="2">
        <v>71047.37</v>
      </c>
      <c r="E991" s="2">
        <v>71047.37</v>
      </c>
      <c r="F991" s="1"/>
      <c r="G991"/>
      <c r="H991" s="36" t="s">
        <v>59</v>
      </c>
      <c r="I991" s="48"/>
      <c r="J991" s="48"/>
      <c r="M991" s="2"/>
      <c r="O991"/>
    </row>
    <row r="992" spans="1:15" x14ac:dyDescent="0.25">
      <c r="A992">
        <v>774</v>
      </c>
      <c r="D992" s="2">
        <v>36359.480000000003</v>
      </c>
      <c r="E992" s="2">
        <v>36359.480000000003</v>
      </c>
      <c r="F992" s="1"/>
      <c r="G992"/>
      <c r="H992" s="36" t="s">
        <v>56</v>
      </c>
      <c r="I992" s="48" t="s">
        <v>106</v>
      </c>
      <c r="J992" s="48" t="s">
        <v>107</v>
      </c>
      <c r="M992" s="2"/>
      <c r="O992"/>
    </row>
    <row r="993" spans="1:15" x14ac:dyDescent="0.25">
      <c r="A993">
        <v>775</v>
      </c>
      <c r="D993" s="2">
        <v>78284.61</v>
      </c>
      <c r="E993" s="2">
        <v>78284.61</v>
      </c>
      <c r="F993" s="1"/>
      <c r="G993"/>
      <c r="H993" s="36" t="s">
        <v>59</v>
      </c>
      <c r="I993" s="48"/>
      <c r="J993" s="48"/>
      <c r="M993" s="2"/>
      <c r="O993"/>
    </row>
    <row r="994" spans="1:15" x14ac:dyDescent="0.25">
      <c r="A994">
        <v>776</v>
      </c>
      <c r="D994" s="2">
        <v>48358.68</v>
      </c>
      <c r="E994" s="2">
        <v>48358.68</v>
      </c>
      <c r="F994" s="1"/>
      <c r="G994"/>
      <c r="H994" s="36" t="s">
        <v>59</v>
      </c>
      <c r="I994" s="48"/>
      <c r="J994" s="48"/>
      <c r="M994" s="2"/>
      <c r="O994"/>
    </row>
    <row r="995" spans="1:15" x14ac:dyDescent="0.25">
      <c r="A995">
        <v>777</v>
      </c>
      <c r="D995" s="2">
        <v>78284.61</v>
      </c>
      <c r="E995" s="2">
        <v>78284.61</v>
      </c>
      <c r="F995" s="1"/>
      <c r="G995"/>
      <c r="H995" s="36" t="s">
        <v>59</v>
      </c>
      <c r="I995" s="48"/>
      <c r="J995" s="48"/>
      <c r="M995" s="2"/>
      <c r="O995"/>
    </row>
    <row r="996" spans="1:15" x14ac:dyDescent="0.25">
      <c r="A996">
        <v>778</v>
      </c>
      <c r="D996" s="2">
        <v>48358.68</v>
      </c>
      <c r="E996" s="2">
        <v>48358.68</v>
      </c>
      <c r="F996" s="1"/>
      <c r="G996"/>
      <c r="H996" s="36" t="s">
        <v>59</v>
      </c>
      <c r="I996" s="48"/>
      <c r="J996" s="48"/>
      <c r="M996" s="2"/>
      <c r="O996"/>
    </row>
    <row r="997" spans="1:15" x14ac:dyDescent="0.25">
      <c r="A997">
        <v>779</v>
      </c>
      <c r="D997" s="2">
        <v>78284.61</v>
      </c>
      <c r="E997" s="2">
        <v>78284.61</v>
      </c>
      <c r="F997" s="1"/>
      <c r="G997"/>
      <c r="H997" s="36" t="s">
        <v>59</v>
      </c>
      <c r="I997" s="48"/>
      <c r="J997" s="48"/>
      <c r="M997" s="2"/>
      <c r="O997"/>
    </row>
    <row r="998" spans="1:15" x14ac:dyDescent="0.25">
      <c r="A998">
        <v>78</v>
      </c>
      <c r="D998" s="2">
        <v>5585.01</v>
      </c>
      <c r="E998" s="2">
        <v>5585.01</v>
      </c>
      <c r="F998" s="1"/>
      <c r="G998"/>
      <c r="H998" s="36" t="s">
        <v>53</v>
      </c>
      <c r="I998" s="48"/>
      <c r="J998" s="48"/>
      <c r="M998" s="2"/>
      <c r="O998"/>
    </row>
    <row r="999" spans="1:15" x14ac:dyDescent="0.25">
      <c r="A999">
        <v>780</v>
      </c>
      <c r="D999" s="2">
        <v>48358.68</v>
      </c>
      <c r="E999" s="2">
        <v>48358.68</v>
      </c>
      <c r="F999" s="1"/>
      <c r="G999"/>
      <c r="H999" s="36" t="s">
        <v>59</v>
      </c>
      <c r="I999" s="48"/>
      <c r="J999" s="48"/>
      <c r="M999" s="2"/>
      <c r="O999"/>
    </row>
    <row r="1000" spans="1:15" x14ac:dyDescent="0.25">
      <c r="A1000">
        <v>781</v>
      </c>
      <c r="D1000" s="2">
        <v>78284.61</v>
      </c>
      <c r="E1000" s="2">
        <v>78284.61</v>
      </c>
      <c r="F1000" s="1"/>
      <c r="G1000"/>
      <c r="H1000" s="36" t="s">
        <v>59</v>
      </c>
      <c r="I1000" s="48"/>
      <c r="J1000" s="48"/>
      <c r="M1000" s="2"/>
      <c r="O1000"/>
    </row>
    <row r="1001" spans="1:15" x14ac:dyDescent="0.25">
      <c r="A1001">
        <v>782</v>
      </c>
      <c r="D1001" s="2">
        <v>48358.68</v>
      </c>
      <c r="E1001" s="2">
        <v>48358.68</v>
      </c>
      <c r="F1001" s="1"/>
      <c r="G1001"/>
      <c r="H1001" s="36" t="s">
        <v>59</v>
      </c>
      <c r="I1001" s="48"/>
      <c r="J1001" s="48"/>
      <c r="M1001" s="2"/>
      <c r="O1001"/>
    </row>
    <row r="1002" spans="1:15" x14ac:dyDescent="0.25">
      <c r="A1002">
        <v>783</v>
      </c>
      <c r="D1002" s="2">
        <v>581781.56999999995</v>
      </c>
      <c r="E1002" s="2">
        <v>581781.56999999995</v>
      </c>
      <c r="F1002" s="1"/>
      <c r="G1002"/>
      <c r="H1002" s="36" t="s">
        <v>59</v>
      </c>
      <c r="I1002" s="48"/>
      <c r="J1002" s="48"/>
      <c r="M1002" s="2"/>
      <c r="O1002"/>
    </row>
    <row r="1003" spans="1:15" x14ac:dyDescent="0.25">
      <c r="A1003">
        <v>784</v>
      </c>
      <c r="D1003" s="2">
        <v>67656.53</v>
      </c>
      <c r="E1003" s="2">
        <v>67656.53</v>
      </c>
      <c r="F1003" s="1"/>
      <c r="G1003"/>
      <c r="H1003" s="36" t="s">
        <v>59</v>
      </c>
      <c r="I1003" s="48"/>
      <c r="J1003" s="48"/>
      <c r="M1003" s="2"/>
      <c r="O1003"/>
    </row>
    <row r="1004" spans="1:15" x14ac:dyDescent="0.25">
      <c r="A1004">
        <v>785</v>
      </c>
      <c r="D1004" s="2">
        <v>67656.53</v>
      </c>
      <c r="E1004" s="2">
        <v>67656.53</v>
      </c>
      <c r="F1004" s="1"/>
      <c r="G1004"/>
      <c r="H1004" s="36" t="s">
        <v>59</v>
      </c>
      <c r="I1004" s="48"/>
      <c r="J1004" s="48"/>
      <c r="M1004" s="2"/>
      <c r="O1004"/>
    </row>
    <row r="1005" spans="1:15" x14ac:dyDescent="0.25">
      <c r="A1005">
        <v>786</v>
      </c>
      <c r="D1005" s="2">
        <v>67656.53</v>
      </c>
      <c r="E1005" s="2">
        <v>67656.53</v>
      </c>
      <c r="F1005" s="1"/>
      <c r="G1005"/>
      <c r="H1005" s="36" t="s">
        <v>59</v>
      </c>
      <c r="I1005" s="48"/>
      <c r="J1005" s="48"/>
      <c r="M1005" s="2"/>
      <c r="O1005"/>
    </row>
    <row r="1006" spans="1:15" x14ac:dyDescent="0.25">
      <c r="A1006">
        <v>787</v>
      </c>
      <c r="D1006" s="2">
        <v>67656.53</v>
      </c>
      <c r="E1006" s="2">
        <v>67656.53</v>
      </c>
      <c r="F1006" s="1"/>
      <c r="G1006"/>
      <c r="H1006" s="36" t="s">
        <v>59</v>
      </c>
      <c r="I1006" s="48"/>
      <c r="J1006" s="48"/>
      <c r="M1006" s="2"/>
      <c r="O1006"/>
    </row>
    <row r="1007" spans="1:15" x14ac:dyDescent="0.25">
      <c r="A1007">
        <v>788</v>
      </c>
      <c r="D1007" s="2">
        <v>224861.87</v>
      </c>
      <c r="E1007" s="2">
        <v>224861.87</v>
      </c>
      <c r="F1007" s="1"/>
      <c r="G1007"/>
      <c r="H1007" s="36" t="s">
        <v>56</v>
      </c>
      <c r="I1007" s="48"/>
      <c r="J1007" s="48"/>
      <c r="M1007" s="2"/>
      <c r="O1007"/>
    </row>
    <row r="1008" spans="1:15" x14ac:dyDescent="0.25">
      <c r="A1008">
        <v>789</v>
      </c>
      <c r="D1008" s="2">
        <v>125099.66</v>
      </c>
      <c r="E1008" s="2">
        <v>125099.66</v>
      </c>
      <c r="F1008" s="1"/>
      <c r="G1008"/>
      <c r="H1008" s="36" t="s">
        <v>56</v>
      </c>
      <c r="I1008" s="48"/>
      <c r="J1008" s="48"/>
      <c r="M1008" s="2"/>
      <c r="O1008"/>
    </row>
    <row r="1009" spans="1:15" x14ac:dyDescent="0.25">
      <c r="A1009">
        <v>79</v>
      </c>
      <c r="D1009" s="2">
        <v>14120.650000000001</v>
      </c>
      <c r="E1009" s="2">
        <v>14120.650000000001</v>
      </c>
      <c r="F1009" s="1"/>
      <c r="G1009"/>
      <c r="H1009" s="36" t="s">
        <v>53</v>
      </c>
      <c r="I1009" s="48"/>
      <c r="J1009" s="48"/>
      <c r="M1009" s="2"/>
      <c r="O1009"/>
    </row>
    <row r="1010" spans="1:15" x14ac:dyDescent="0.25">
      <c r="A1010">
        <v>790</v>
      </c>
      <c r="D1010" s="2">
        <v>125099.66</v>
      </c>
      <c r="E1010" s="2">
        <v>125099.66</v>
      </c>
      <c r="F1010" s="1"/>
      <c r="G1010"/>
      <c r="H1010" s="36" t="s">
        <v>56</v>
      </c>
      <c r="I1010" s="48"/>
      <c r="J1010" s="48"/>
      <c r="M1010" s="2"/>
      <c r="O1010"/>
    </row>
    <row r="1011" spans="1:15" x14ac:dyDescent="0.25">
      <c r="A1011">
        <v>791</v>
      </c>
      <c r="D1011" s="2">
        <v>224861.87</v>
      </c>
      <c r="E1011" s="2">
        <v>224861.87</v>
      </c>
      <c r="F1011" s="1"/>
      <c r="G1011"/>
      <c r="H1011" s="36" t="s">
        <v>56</v>
      </c>
      <c r="I1011" s="48"/>
      <c r="J1011" s="48"/>
      <c r="M1011" s="2"/>
      <c r="O1011"/>
    </row>
    <row r="1012" spans="1:15" x14ac:dyDescent="0.25">
      <c r="A1012">
        <v>792</v>
      </c>
      <c r="D1012" s="2">
        <v>125099.66</v>
      </c>
      <c r="E1012" s="2">
        <v>125099.66</v>
      </c>
      <c r="F1012" s="1"/>
      <c r="G1012"/>
      <c r="H1012" s="36" t="s">
        <v>56</v>
      </c>
      <c r="I1012" s="48"/>
      <c r="J1012" s="48"/>
      <c r="M1012" s="2"/>
      <c r="O1012"/>
    </row>
    <row r="1013" spans="1:15" x14ac:dyDescent="0.25">
      <c r="A1013">
        <v>793</v>
      </c>
      <c r="D1013" s="2">
        <v>224861.87</v>
      </c>
      <c r="E1013" s="2">
        <v>224861.87</v>
      </c>
      <c r="F1013" s="1"/>
      <c r="G1013"/>
      <c r="H1013" s="36" t="s">
        <v>56</v>
      </c>
      <c r="I1013" s="48"/>
      <c r="J1013" s="48"/>
      <c r="M1013" s="2"/>
      <c r="O1013"/>
    </row>
    <row r="1014" spans="1:15" x14ac:dyDescent="0.25">
      <c r="A1014">
        <v>794</v>
      </c>
      <c r="D1014" s="2">
        <v>7093.08</v>
      </c>
      <c r="E1014" s="2">
        <v>7093.08</v>
      </c>
      <c r="F1014" s="1"/>
      <c r="G1014"/>
      <c r="H1014" s="36" t="s">
        <v>59</v>
      </c>
      <c r="I1014" s="48"/>
      <c r="J1014" s="48"/>
      <c r="M1014" s="2"/>
      <c r="O1014"/>
    </row>
    <row r="1015" spans="1:15" x14ac:dyDescent="0.25">
      <c r="A1015">
        <v>795</v>
      </c>
      <c r="D1015" s="2">
        <v>158506.1</v>
      </c>
      <c r="E1015" s="2">
        <v>158506.1</v>
      </c>
      <c r="F1015" s="1"/>
      <c r="G1015"/>
      <c r="H1015" s="36" t="s">
        <v>56</v>
      </c>
      <c r="I1015" s="48"/>
      <c r="J1015" s="48"/>
      <c r="M1015" s="2"/>
      <c r="O1015"/>
    </row>
    <row r="1016" spans="1:15" x14ac:dyDescent="0.25">
      <c r="A1016">
        <v>796</v>
      </c>
      <c r="D1016" s="2">
        <v>82983.13</v>
      </c>
      <c r="E1016" s="2">
        <v>82983.13</v>
      </c>
      <c r="F1016" s="1"/>
      <c r="G1016"/>
      <c r="H1016" s="36" t="s">
        <v>56</v>
      </c>
      <c r="I1016" s="48"/>
      <c r="J1016" s="48"/>
      <c r="M1016" s="2"/>
      <c r="O1016"/>
    </row>
    <row r="1017" spans="1:15" x14ac:dyDescent="0.25">
      <c r="A1017">
        <v>797</v>
      </c>
      <c r="D1017" s="2">
        <v>158506.1</v>
      </c>
      <c r="E1017" s="2">
        <v>158506.1</v>
      </c>
      <c r="F1017" s="1"/>
      <c r="G1017"/>
      <c r="H1017" s="36" t="s">
        <v>56</v>
      </c>
      <c r="I1017" s="48"/>
      <c r="J1017" s="48"/>
      <c r="M1017" s="2"/>
      <c r="O1017"/>
    </row>
    <row r="1018" spans="1:15" x14ac:dyDescent="0.25">
      <c r="A1018">
        <v>798</v>
      </c>
      <c r="D1018" s="2">
        <v>82983.13</v>
      </c>
      <c r="E1018" s="2">
        <v>82983.13</v>
      </c>
      <c r="F1018" s="1"/>
      <c r="G1018"/>
      <c r="H1018" s="36" t="s">
        <v>56</v>
      </c>
      <c r="I1018" s="48"/>
      <c r="J1018" s="48"/>
      <c r="M1018" s="2"/>
      <c r="O1018"/>
    </row>
    <row r="1019" spans="1:15" x14ac:dyDescent="0.25">
      <c r="A1019">
        <v>799</v>
      </c>
      <c r="D1019" s="2">
        <v>82983.13</v>
      </c>
      <c r="E1019" s="2">
        <v>82983.13</v>
      </c>
      <c r="F1019" s="1"/>
      <c r="G1019"/>
      <c r="H1019" s="36" t="s">
        <v>56</v>
      </c>
      <c r="I1019" s="48"/>
      <c r="J1019" s="48"/>
      <c r="M1019" s="2"/>
      <c r="O1019"/>
    </row>
    <row r="1020" spans="1:15" x14ac:dyDescent="0.25">
      <c r="A1020">
        <v>8</v>
      </c>
      <c r="D1020" s="2">
        <v>36776.47</v>
      </c>
      <c r="E1020" s="2">
        <v>36776.47</v>
      </c>
      <c r="F1020" s="1"/>
      <c r="G1020"/>
      <c r="H1020" s="36" t="s">
        <v>54</v>
      </c>
      <c r="I1020" s="48"/>
      <c r="J1020" s="48"/>
      <c r="M1020" s="2"/>
      <c r="O1020"/>
    </row>
    <row r="1021" spans="1:15" x14ac:dyDescent="0.25">
      <c r="A1021">
        <v>80</v>
      </c>
      <c r="D1021" s="2">
        <v>16357.28</v>
      </c>
      <c r="E1021" s="2">
        <v>16357.28</v>
      </c>
      <c r="F1021" s="1"/>
      <c r="G1021"/>
      <c r="H1021" s="36" t="s">
        <v>53</v>
      </c>
      <c r="I1021" s="48"/>
      <c r="J1021" s="48"/>
      <c r="M1021" s="2"/>
      <c r="O1021"/>
    </row>
    <row r="1022" spans="1:15" x14ac:dyDescent="0.25">
      <c r="A1022">
        <v>800</v>
      </c>
      <c r="D1022" s="2">
        <v>82983.13</v>
      </c>
      <c r="E1022" s="2">
        <v>82983.13</v>
      </c>
      <c r="F1022" s="1"/>
      <c r="G1022"/>
      <c r="H1022" s="36" t="s">
        <v>56</v>
      </c>
      <c r="I1022" s="48"/>
      <c r="J1022" s="48"/>
      <c r="M1022" s="2"/>
      <c r="O1022"/>
    </row>
    <row r="1023" spans="1:15" x14ac:dyDescent="0.25">
      <c r="A1023">
        <v>801</v>
      </c>
      <c r="D1023" s="2">
        <v>449723.74</v>
      </c>
      <c r="E1023" s="2">
        <v>449723.74</v>
      </c>
      <c r="F1023" s="1"/>
      <c r="G1023"/>
      <c r="H1023" s="36" t="s">
        <v>56</v>
      </c>
      <c r="I1023" s="48"/>
      <c r="J1023" s="48"/>
      <c r="M1023" s="2"/>
      <c r="O1023"/>
    </row>
    <row r="1024" spans="1:15" x14ac:dyDescent="0.25">
      <c r="A1024">
        <v>802</v>
      </c>
      <c r="D1024" s="2">
        <v>224861.87</v>
      </c>
      <c r="E1024" s="2">
        <v>224861.87</v>
      </c>
      <c r="F1024" s="1"/>
      <c r="G1024"/>
      <c r="H1024" s="36" t="s">
        <v>56</v>
      </c>
      <c r="I1024" s="48"/>
      <c r="J1024" s="48"/>
      <c r="M1024" s="2"/>
      <c r="O1024"/>
    </row>
    <row r="1025" spans="1:15" x14ac:dyDescent="0.25">
      <c r="A1025">
        <v>803</v>
      </c>
      <c r="D1025" s="2">
        <v>224861.87</v>
      </c>
      <c r="E1025" s="2">
        <v>224861.87</v>
      </c>
      <c r="F1025" s="1"/>
      <c r="G1025"/>
      <c r="H1025" s="36" t="s">
        <v>56</v>
      </c>
      <c r="I1025" s="48"/>
      <c r="J1025" s="48"/>
      <c r="M1025" s="2"/>
      <c r="O1025"/>
    </row>
    <row r="1026" spans="1:15" x14ac:dyDescent="0.25">
      <c r="A1026">
        <v>804</v>
      </c>
      <c r="D1026" s="2">
        <v>224861.87</v>
      </c>
      <c r="E1026" s="2">
        <v>224861.87</v>
      </c>
      <c r="F1026" s="1"/>
      <c r="G1026"/>
      <c r="H1026" s="36" t="s">
        <v>56</v>
      </c>
      <c r="I1026" s="48"/>
      <c r="J1026" s="48"/>
      <c r="M1026" s="2"/>
      <c r="O1026"/>
    </row>
    <row r="1027" spans="1:15" x14ac:dyDescent="0.25">
      <c r="A1027">
        <v>805</v>
      </c>
      <c r="D1027" s="2">
        <v>158506.1</v>
      </c>
      <c r="E1027" s="2">
        <v>158506.1</v>
      </c>
      <c r="F1027" s="1"/>
      <c r="G1027"/>
      <c r="H1027" s="36" t="s">
        <v>56</v>
      </c>
      <c r="I1027" s="48"/>
      <c r="J1027" s="48"/>
      <c r="M1027" s="2"/>
      <c r="O1027"/>
    </row>
    <row r="1028" spans="1:15" x14ac:dyDescent="0.25">
      <c r="A1028">
        <v>806</v>
      </c>
      <c r="D1028" s="2">
        <v>82983.13</v>
      </c>
      <c r="E1028" s="2">
        <v>82983.13</v>
      </c>
      <c r="F1028" s="1"/>
      <c r="G1028"/>
      <c r="H1028" s="36" t="s">
        <v>56</v>
      </c>
      <c r="I1028" s="48"/>
      <c r="J1028" s="48"/>
      <c r="M1028" s="2"/>
      <c r="O1028"/>
    </row>
    <row r="1029" spans="1:15" x14ac:dyDescent="0.25">
      <c r="A1029">
        <v>807</v>
      </c>
      <c r="D1029" s="2">
        <v>158506.1</v>
      </c>
      <c r="E1029" s="2">
        <v>158506.1</v>
      </c>
      <c r="F1029" s="1"/>
      <c r="G1029"/>
      <c r="H1029" s="36" t="s">
        <v>56</v>
      </c>
      <c r="I1029" s="48"/>
      <c r="J1029" s="48"/>
      <c r="M1029" s="2"/>
      <c r="O1029"/>
    </row>
    <row r="1030" spans="1:15" x14ac:dyDescent="0.25">
      <c r="A1030">
        <v>808</v>
      </c>
      <c r="D1030" s="2">
        <v>82983.13</v>
      </c>
      <c r="E1030" s="2">
        <v>82983.13</v>
      </c>
      <c r="F1030" s="1"/>
      <c r="G1030"/>
      <c r="H1030" s="36" t="s">
        <v>56</v>
      </c>
      <c r="I1030" s="48"/>
      <c r="J1030" s="48"/>
      <c r="M1030" s="2"/>
      <c r="O1030"/>
    </row>
    <row r="1031" spans="1:15" x14ac:dyDescent="0.25">
      <c r="A1031">
        <v>809</v>
      </c>
      <c r="D1031" s="2">
        <v>317012.2</v>
      </c>
      <c r="E1031" s="2">
        <v>317012.2</v>
      </c>
      <c r="F1031" s="1"/>
      <c r="G1031"/>
      <c r="H1031" s="36" t="s">
        <v>56</v>
      </c>
      <c r="I1031" s="48"/>
      <c r="J1031" s="48"/>
      <c r="M1031" s="2"/>
      <c r="O1031"/>
    </row>
    <row r="1032" spans="1:15" x14ac:dyDescent="0.25">
      <c r="A1032">
        <v>81</v>
      </c>
      <c r="D1032" s="2">
        <v>18264.830000000002</v>
      </c>
      <c r="E1032" s="2">
        <v>18264.830000000002</v>
      </c>
      <c r="F1032" s="1"/>
      <c r="G1032"/>
      <c r="H1032" s="36" t="s">
        <v>53</v>
      </c>
      <c r="I1032" s="48"/>
      <c r="J1032" s="48"/>
      <c r="M1032" s="2"/>
      <c r="O1032"/>
    </row>
    <row r="1033" spans="1:15" x14ac:dyDescent="0.25">
      <c r="A1033">
        <v>810</v>
      </c>
      <c r="D1033" s="2">
        <v>165966.26</v>
      </c>
      <c r="E1033" s="2">
        <v>165966.26</v>
      </c>
      <c r="F1033" s="1"/>
      <c r="G1033"/>
      <c r="H1033" s="36" t="s">
        <v>56</v>
      </c>
      <c r="I1033" s="48"/>
      <c r="J1033" s="48"/>
      <c r="M1033" s="2"/>
      <c r="O1033"/>
    </row>
    <row r="1034" spans="1:15" x14ac:dyDescent="0.25">
      <c r="A1034">
        <v>811</v>
      </c>
      <c r="D1034" s="2">
        <v>158506.1</v>
      </c>
      <c r="E1034" s="2">
        <v>158506.1</v>
      </c>
      <c r="F1034" s="1"/>
      <c r="G1034"/>
      <c r="H1034" s="36" t="s">
        <v>56</v>
      </c>
      <c r="I1034" s="48"/>
      <c r="J1034" s="48"/>
      <c r="M1034" s="2"/>
      <c r="O1034"/>
    </row>
    <row r="1035" spans="1:15" x14ac:dyDescent="0.25">
      <c r="A1035">
        <v>812</v>
      </c>
      <c r="D1035" s="2">
        <v>82983.13</v>
      </c>
      <c r="E1035" s="2">
        <v>82983.13</v>
      </c>
      <c r="F1035" s="1"/>
      <c r="G1035"/>
      <c r="H1035" s="36" t="s">
        <v>56</v>
      </c>
      <c r="I1035" s="48"/>
      <c r="J1035" s="48"/>
      <c r="M1035" s="2"/>
      <c r="O1035"/>
    </row>
    <row r="1036" spans="1:15" x14ac:dyDescent="0.25">
      <c r="A1036">
        <v>813</v>
      </c>
      <c r="D1036" s="2">
        <v>158506.1</v>
      </c>
      <c r="E1036" s="2">
        <v>158506.1</v>
      </c>
      <c r="F1036" s="1"/>
      <c r="G1036"/>
      <c r="H1036" s="36" t="s">
        <v>56</v>
      </c>
      <c r="I1036" s="48"/>
      <c r="J1036" s="48"/>
      <c r="M1036" s="2"/>
      <c r="O1036"/>
    </row>
    <row r="1037" spans="1:15" x14ac:dyDescent="0.25">
      <c r="A1037">
        <v>814</v>
      </c>
      <c r="D1037" s="2">
        <v>82983.13</v>
      </c>
      <c r="E1037" s="2">
        <v>82983.13</v>
      </c>
      <c r="F1037" s="1"/>
      <c r="G1037"/>
      <c r="H1037" s="36" t="s">
        <v>56</v>
      </c>
      <c r="I1037" s="48"/>
      <c r="J1037" s="48"/>
      <c r="M1037" s="2"/>
      <c r="O1037"/>
    </row>
    <row r="1038" spans="1:15" x14ac:dyDescent="0.25">
      <c r="A1038">
        <v>815</v>
      </c>
      <c r="D1038" s="2">
        <v>158506.1</v>
      </c>
      <c r="E1038" s="2">
        <v>158506.1</v>
      </c>
      <c r="F1038" s="1"/>
      <c r="G1038"/>
      <c r="H1038" s="36" t="s">
        <v>56</v>
      </c>
      <c r="I1038" s="48"/>
      <c r="J1038" s="48"/>
      <c r="M1038" s="2"/>
      <c r="O1038"/>
    </row>
    <row r="1039" spans="1:15" x14ac:dyDescent="0.25">
      <c r="A1039">
        <v>816</v>
      </c>
      <c r="D1039" s="2">
        <v>82983.13</v>
      </c>
      <c r="E1039" s="2">
        <v>82983.13</v>
      </c>
      <c r="F1039" s="1"/>
      <c r="G1039"/>
      <c r="H1039" s="36" t="s">
        <v>56</v>
      </c>
      <c r="I1039" s="48"/>
      <c r="J1039" s="48"/>
      <c r="M1039" s="2"/>
      <c r="O1039"/>
    </row>
    <row r="1040" spans="1:15" x14ac:dyDescent="0.25">
      <c r="A1040">
        <v>817</v>
      </c>
      <c r="D1040" s="2">
        <v>82983.13</v>
      </c>
      <c r="E1040" s="2">
        <v>82983.13</v>
      </c>
      <c r="F1040" s="1"/>
      <c r="G1040"/>
      <c r="H1040" s="36" t="s">
        <v>56</v>
      </c>
      <c r="I1040" s="48"/>
      <c r="J1040" s="48"/>
      <c r="M1040" s="2"/>
      <c r="O1040"/>
    </row>
    <row r="1041" spans="1:15" x14ac:dyDescent="0.25">
      <c r="A1041">
        <v>818</v>
      </c>
      <c r="D1041" s="2">
        <v>158506.1</v>
      </c>
      <c r="E1041" s="2">
        <v>158506.1</v>
      </c>
      <c r="F1041" s="1"/>
      <c r="G1041"/>
      <c r="H1041" s="36" t="s">
        <v>56</v>
      </c>
      <c r="I1041" s="48"/>
      <c r="J1041" s="48"/>
      <c r="M1041" s="2"/>
      <c r="O1041"/>
    </row>
    <row r="1042" spans="1:15" x14ac:dyDescent="0.25">
      <c r="A1042">
        <v>819</v>
      </c>
      <c r="D1042" s="2">
        <v>82983.13</v>
      </c>
      <c r="E1042" s="2">
        <v>82983.13</v>
      </c>
      <c r="F1042" s="1"/>
      <c r="G1042"/>
      <c r="H1042" s="36" t="s">
        <v>56</v>
      </c>
      <c r="I1042" s="48"/>
      <c r="J1042" s="48"/>
      <c r="M1042" s="2"/>
      <c r="O1042"/>
    </row>
    <row r="1043" spans="1:15" x14ac:dyDescent="0.25">
      <c r="A1043">
        <v>82</v>
      </c>
      <c r="D1043" s="2">
        <v>28125.280000000002</v>
      </c>
      <c r="E1043" s="2">
        <v>28125.280000000002</v>
      </c>
      <c r="F1043" s="1"/>
      <c r="G1043"/>
      <c r="H1043" s="36" t="s">
        <v>53</v>
      </c>
      <c r="I1043" s="48"/>
      <c r="J1043" s="48"/>
      <c r="M1043" s="2"/>
      <c r="O1043"/>
    </row>
    <row r="1044" spans="1:15" x14ac:dyDescent="0.25">
      <c r="A1044">
        <v>820</v>
      </c>
      <c r="D1044" s="2">
        <v>158506.1</v>
      </c>
      <c r="E1044" s="2">
        <v>158506.1</v>
      </c>
      <c r="F1044" s="1"/>
      <c r="G1044"/>
      <c r="H1044" s="36" t="s">
        <v>56</v>
      </c>
      <c r="I1044" s="48"/>
      <c r="J1044" s="48"/>
      <c r="M1044" s="2"/>
      <c r="O1044"/>
    </row>
    <row r="1045" spans="1:15" x14ac:dyDescent="0.25">
      <c r="A1045">
        <v>821</v>
      </c>
      <c r="D1045" s="2">
        <v>82983.13</v>
      </c>
      <c r="E1045" s="2">
        <v>82983.13</v>
      </c>
      <c r="F1045" s="1"/>
      <c r="G1045"/>
      <c r="H1045" s="36" t="s">
        <v>56</v>
      </c>
      <c r="I1045" s="48"/>
      <c r="J1045" s="48"/>
      <c r="M1045" s="2"/>
      <c r="O1045"/>
    </row>
    <row r="1046" spans="1:15" x14ac:dyDescent="0.25">
      <c r="A1046">
        <v>822</v>
      </c>
      <c r="D1046" s="2">
        <v>317012.2</v>
      </c>
      <c r="E1046" s="2">
        <v>317012.2</v>
      </c>
      <c r="F1046" s="1"/>
      <c r="G1046"/>
      <c r="H1046" s="36" t="s">
        <v>56</v>
      </c>
      <c r="I1046" s="48"/>
      <c r="J1046" s="48"/>
      <c r="M1046" s="2"/>
      <c r="O1046"/>
    </row>
    <row r="1047" spans="1:15" x14ac:dyDescent="0.25">
      <c r="A1047">
        <v>823</v>
      </c>
      <c r="D1047" s="2">
        <v>165966.26</v>
      </c>
      <c r="E1047" s="2">
        <v>165966.26</v>
      </c>
      <c r="F1047" s="1"/>
      <c r="G1047"/>
      <c r="H1047" s="36" t="s">
        <v>56</v>
      </c>
      <c r="I1047" s="48"/>
      <c r="J1047" s="48"/>
      <c r="M1047" s="2"/>
      <c r="O1047"/>
    </row>
    <row r="1048" spans="1:15" x14ac:dyDescent="0.25">
      <c r="A1048">
        <v>824</v>
      </c>
      <c r="D1048" s="2">
        <v>158506.1</v>
      </c>
      <c r="E1048" s="2">
        <v>158506.1</v>
      </c>
      <c r="F1048" s="1"/>
      <c r="G1048"/>
      <c r="H1048" s="36" t="s">
        <v>56</v>
      </c>
      <c r="I1048" s="48"/>
      <c r="J1048" s="48"/>
      <c r="M1048" s="2"/>
      <c r="O1048"/>
    </row>
    <row r="1049" spans="1:15" x14ac:dyDescent="0.25">
      <c r="A1049">
        <v>825</v>
      </c>
      <c r="D1049" s="2">
        <v>82983.13</v>
      </c>
      <c r="E1049" s="2">
        <v>82983.13</v>
      </c>
      <c r="F1049" s="1"/>
      <c r="G1049"/>
      <c r="H1049" s="36" t="s">
        <v>56</v>
      </c>
      <c r="I1049" s="48"/>
      <c r="J1049" s="48"/>
      <c r="M1049" s="2"/>
      <c r="O1049"/>
    </row>
    <row r="1050" spans="1:15" x14ac:dyDescent="0.25">
      <c r="A1050">
        <v>826</v>
      </c>
      <c r="D1050" s="2">
        <v>82983.13</v>
      </c>
      <c r="E1050" s="2">
        <v>82983.13</v>
      </c>
      <c r="F1050" s="1"/>
      <c r="G1050"/>
      <c r="H1050" s="36" t="s">
        <v>56</v>
      </c>
      <c r="I1050" s="48"/>
      <c r="J1050" s="48"/>
      <c r="M1050" s="2"/>
      <c r="O1050"/>
    </row>
    <row r="1051" spans="1:15" x14ac:dyDescent="0.25">
      <c r="A1051">
        <v>827</v>
      </c>
      <c r="D1051" s="2">
        <v>158506.1</v>
      </c>
      <c r="E1051" s="2">
        <v>158506.1</v>
      </c>
      <c r="F1051" s="1"/>
      <c r="G1051"/>
      <c r="H1051" s="36" t="s">
        <v>56</v>
      </c>
      <c r="I1051" s="48"/>
      <c r="J1051" s="48"/>
      <c r="M1051" s="2"/>
      <c r="O1051"/>
    </row>
    <row r="1052" spans="1:15" x14ac:dyDescent="0.25">
      <c r="A1052">
        <v>828</v>
      </c>
      <c r="D1052" s="2">
        <v>389397.58</v>
      </c>
      <c r="E1052" s="2">
        <v>389397.58</v>
      </c>
      <c r="F1052" s="1"/>
      <c r="G1052"/>
      <c r="H1052" s="36" t="s">
        <v>56</v>
      </c>
      <c r="I1052" s="48"/>
      <c r="J1052" s="48"/>
      <c r="M1052" s="2"/>
      <c r="O1052"/>
    </row>
    <row r="1053" spans="1:15" x14ac:dyDescent="0.25">
      <c r="A1053">
        <v>829</v>
      </c>
      <c r="D1053" s="2">
        <v>194698.79</v>
      </c>
      <c r="E1053" s="2">
        <v>194698.79</v>
      </c>
      <c r="F1053" s="1"/>
      <c r="G1053"/>
      <c r="H1053" s="36" t="s">
        <v>56</v>
      </c>
      <c r="I1053" s="48"/>
      <c r="J1053" s="48"/>
      <c r="M1053" s="2"/>
      <c r="O1053"/>
    </row>
    <row r="1054" spans="1:15" x14ac:dyDescent="0.25">
      <c r="A1054">
        <v>83</v>
      </c>
      <c r="D1054" s="2">
        <v>56250.560000000005</v>
      </c>
      <c r="E1054" s="2">
        <v>56250.560000000005</v>
      </c>
      <c r="F1054" s="1"/>
      <c r="G1054"/>
      <c r="H1054" s="36" t="s">
        <v>53</v>
      </c>
      <c r="I1054" s="48"/>
      <c r="J1054" s="48"/>
      <c r="M1054" s="2"/>
      <c r="O1054"/>
    </row>
    <row r="1055" spans="1:15" x14ac:dyDescent="0.25">
      <c r="A1055">
        <v>830</v>
      </c>
      <c r="D1055" s="2">
        <v>194698.79</v>
      </c>
      <c r="E1055" s="2">
        <v>194698.79</v>
      </c>
      <c r="F1055" s="1"/>
      <c r="G1055"/>
      <c r="H1055" s="36" t="s">
        <v>56</v>
      </c>
      <c r="I1055" s="48"/>
      <c r="J1055" s="48"/>
      <c r="M1055" s="2"/>
      <c r="O1055"/>
    </row>
    <row r="1056" spans="1:15" x14ac:dyDescent="0.25">
      <c r="A1056">
        <v>831</v>
      </c>
      <c r="D1056" s="2">
        <v>194698.79</v>
      </c>
      <c r="E1056" s="2">
        <v>194698.79</v>
      </c>
      <c r="F1056" s="1"/>
      <c r="G1056"/>
      <c r="H1056" s="36" t="s">
        <v>56</v>
      </c>
      <c r="I1056" s="48"/>
      <c r="J1056" s="48"/>
      <c r="M1056" s="2"/>
      <c r="O1056"/>
    </row>
    <row r="1057" spans="1:15" x14ac:dyDescent="0.25">
      <c r="A1057">
        <v>832</v>
      </c>
      <c r="D1057" s="2">
        <v>194698.79</v>
      </c>
      <c r="E1057" s="2">
        <v>194698.79</v>
      </c>
      <c r="F1057" s="1"/>
      <c r="G1057"/>
      <c r="H1057" s="36" t="s">
        <v>56</v>
      </c>
      <c r="I1057" s="48"/>
      <c r="J1057" s="48"/>
      <c r="M1057" s="2"/>
      <c r="O1057"/>
    </row>
    <row r="1058" spans="1:15" x14ac:dyDescent="0.25">
      <c r="A1058">
        <v>833</v>
      </c>
      <c r="D1058" s="2">
        <v>194698.79</v>
      </c>
      <c r="E1058" s="2">
        <v>194698.79</v>
      </c>
      <c r="F1058" s="1"/>
      <c r="G1058"/>
      <c r="H1058" s="36" t="s">
        <v>56</v>
      </c>
      <c r="I1058" s="48"/>
      <c r="J1058" s="48"/>
      <c r="M1058" s="2"/>
      <c r="O1058"/>
    </row>
    <row r="1059" spans="1:15" x14ac:dyDescent="0.25">
      <c r="A1059">
        <v>834</v>
      </c>
      <c r="D1059" s="2">
        <v>194698.79</v>
      </c>
      <c r="E1059" s="2">
        <v>194698.79</v>
      </c>
      <c r="F1059" s="1"/>
      <c r="G1059"/>
      <c r="H1059" s="36" t="s">
        <v>56</v>
      </c>
      <c r="I1059" s="48"/>
      <c r="J1059" s="48"/>
      <c r="M1059" s="2"/>
      <c r="O1059"/>
    </row>
    <row r="1060" spans="1:15" x14ac:dyDescent="0.25">
      <c r="A1060">
        <v>835</v>
      </c>
      <c r="D1060" s="2">
        <v>194698.79</v>
      </c>
      <c r="E1060" s="2">
        <v>194698.79</v>
      </c>
      <c r="F1060" s="1"/>
      <c r="G1060"/>
      <c r="H1060" s="36" t="s">
        <v>56</v>
      </c>
      <c r="I1060" s="48"/>
      <c r="J1060" s="48"/>
      <c r="M1060" s="2"/>
      <c r="O1060"/>
    </row>
    <row r="1061" spans="1:15" x14ac:dyDescent="0.25">
      <c r="A1061">
        <v>836</v>
      </c>
      <c r="D1061" s="2">
        <v>194698.79</v>
      </c>
      <c r="E1061" s="2">
        <v>194698.79</v>
      </c>
      <c r="F1061" s="1"/>
      <c r="G1061"/>
      <c r="H1061" s="36" t="s">
        <v>56</v>
      </c>
      <c r="I1061" s="48"/>
      <c r="J1061" s="48"/>
      <c r="M1061" s="2"/>
      <c r="O1061"/>
    </row>
    <row r="1062" spans="1:15" x14ac:dyDescent="0.25">
      <c r="A1062">
        <v>837</v>
      </c>
      <c r="D1062" s="2">
        <v>250199.31</v>
      </c>
      <c r="E1062" s="2">
        <v>250199.31</v>
      </c>
      <c r="F1062" s="1"/>
      <c r="G1062"/>
      <c r="H1062" s="36" t="s">
        <v>56</v>
      </c>
      <c r="I1062" s="48"/>
      <c r="J1062" s="48"/>
      <c r="M1062" s="2"/>
      <c r="O1062"/>
    </row>
    <row r="1063" spans="1:15" x14ac:dyDescent="0.25">
      <c r="A1063">
        <v>838</v>
      </c>
      <c r="D1063" s="2">
        <v>82983.13</v>
      </c>
      <c r="E1063" s="2">
        <v>82983.13</v>
      </c>
      <c r="F1063" s="1"/>
      <c r="G1063"/>
      <c r="H1063" s="36" t="s">
        <v>56</v>
      </c>
      <c r="I1063" s="48"/>
      <c r="J1063" s="48"/>
      <c r="M1063" s="2"/>
      <c r="O1063"/>
    </row>
    <row r="1064" spans="1:15" x14ac:dyDescent="0.25">
      <c r="A1064">
        <v>839</v>
      </c>
      <c r="D1064" s="2">
        <v>194698.79</v>
      </c>
      <c r="E1064" s="2">
        <v>194698.79</v>
      </c>
      <c r="F1064" s="1"/>
      <c r="G1064"/>
      <c r="H1064" s="36" t="s">
        <v>56</v>
      </c>
      <c r="I1064" s="48"/>
      <c r="J1064" s="48"/>
      <c r="M1064" s="2"/>
      <c r="O1064"/>
    </row>
    <row r="1065" spans="1:15" x14ac:dyDescent="0.25">
      <c r="A1065">
        <v>84</v>
      </c>
      <c r="D1065" s="2">
        <v>56250.560000000005</v>
      </c>
      <c r="E1065" s="2">
        <v>56250.560000000005</v>
      </c>
      <c r="F1065" s="1"/>
      <c r="G1065"/>
      <c r="H1065" s="36" t="s">
        <v>53</v>
      </c>
      <c r="I1065" s="48"/>
      <c r="J1065" s="48"/>
      <c r="M1065" s="2"/>
      <c r="O1065"/>
    </row>
    <row r="1066" spans="1:15" x14ac:dyDescent="0.25">
      <c r="A1066">
        <v>840</v>
      </c>
      <c r="D1066" s="2">
        <v>194698.79</v>
      </c>
      <c r="E1066" s="2">
        <v>194698.79</v>
      </c>
      <c r="F1066" s="1"/>
      <c r="G1066"/>
      <c r="H1066" s="36" t="s">
        <v>56</v>
      </c>
      <c r="I1066" s="48"/>
      <c r="J1066" s="48"/>
      <c r="M1066" s="2"/>
      <c r="O1066"/>
    </row>
    <row r="1067" spans="1:15" x14ac:dyDescent="0.25">
      <c r="A1067">
        <v>841</v>
      </c>
      <c r="D1067" s="2">
        <v>194698.79</v>
      </c>
      <c r="E1067" s="2">
        <v>194698.79</v>
      </c>
      <c r="F1067" s="1"/>
      <c r="G1067"/>
      <c r="H1067" s="36" t="s">
        <v>56</v>
      </c>
      <c r="I1067" s="48"/>
      <c r="J1067" s="48"/>
      <c r="M1067" s="2"/>
      <c r="O1067"/>
    </row>
    <row r="1068" spans="1:15" x14ac:dyDescent="0.25">
      <c r="A1068">
        <v>842</v>
      </c>
      <c r="D1068" s="2">
        <v>194698.79</v>
      </c>
      <c r="E1068" s="2">
        <v>194698.79</v>
      </c>
      <c r="F1068" s="1"/>
      <c r="G1068"/>
      <c r="H1068" s="36" t="s">
        <v>56</v>
      </c>
      <c r="I1068" s="48"/>
      <c r="J1068" s="48"/>
      <c r="M1068" s="2"/>
      <c r="O1068"/>
    </row>
    <row r="1069" spans="1:15" x14ac:dyDescent="0.25">
      <c r="A1069">
        <v>843</v>
      </c>
      <c r="D1069" s="2">
        <v>194698.79</v>
      </c>
      <c r="E1069" s="2">
        <v>194698.79</v>
      </c>
      <c r="F1069" s="1"/>
      <c r="G1069"/>
      <c r="H1069" s="36" t="s">
        <v>56</v>
      </c>
      <c r="I1069" s="48"/>
      <c r="J1069" s="48"/>
      <c r="M1069" s="2"/>
      <c r="O1069"/>
    </row>
    <row r="1070" spans="1:15" x14ac:dyDescent="0.25">
      <c r="A1070">
        <v>844</v>
      </c>
      <c r="D1070" s="2">
        <v>125099.66</v>
      </c>
      <c r="E1070" s="2">
        <v>125099.66</v>
      </c>
      <c r="F1070" s="1"/>
      <c r="G1070"/>
      <c r="H1070" s="36" t="s">
        <v>56</v>
      </c>
      <c r="I1070" s="48"/>
      <c r="J1070" s="48"/>
      <c r="M1070" s="2"/>
      <c r="O1070"/>
    </row>
    <row r="1071" spans="1:15" x14ac:dyDescent="0.25">
      <c r="A1071">
        <v>845</v>
      </c>
      <c r="D1071" s="2">
        <v>125099.66</v>
      </c>
      <c r="E1071" s="2">
        <v>125099.66</v>
      </c>
      <c r="F1071" s="1"/>
      <c r="G1071"/>
      <c r="H1071" s="36" t="s">
        <v>56</v>
      </c>
      <c r="I1071" s="48"/>
      <c r="J1071" s="48"/>
      <c r="M1071" s="2"/>
      <c r="O1071"/>
    </row>
    <row r="1072" spans="1:15" x14ac:dyDescent="0.25">
      <c r="A1072">
        <v>846</v>
      </c>
      <c r="D1072" s="2">
        <v>125099.66</v>
      </c>
      <c r="E1072" s="2">
        <v>125099.66</v>
      </c>
      <c r="F1072" s="1"/>
      <c r="G1072"/>
      <c r="H1072" s="36" t="s">
        <v>56</v>
      </c>
      <c r="I1072" s="48"/>
      <c r="J1072" s="48"/>
      <c r="M1072" s="2"/>
      <c r="O1072"/>
    </row>
    <row r="1073" spans="1:15" x14ac:dyDescent="0.25">
      <c r="A1073">
        <v>847</v>
      </c>
      <c r="D1073" s="2">
        <v>224861.87</v>
      </c>
      <c r="E1073" s="2">
        <v>224861.87</v>
      </c>
      <c r="F1073" s="1"/>
      <c r="G1073"/>
      <c r="H1073" s="36" t="s">
        <v>56</v>
      </c>
      <c r="I1073" s="48"/>
      <c r="J1073" s="48"/>
      <c r="M1073" s="2"/>
      <c r="O1073"/>
    </row>
    <row r="1074" spans="1:15" x14ac:dyDescent="0.25">
      <c r="A1074">
        <v>848</v>
      </c>
      <c r="D1074" s="2">
        <v>125099.66</v>
      </c>
      <c r="E1074" s="2">
        <v>125099.66</v>
      </c>
      <c r="F1074" s="1"/>
      <c r="G1074"/>
      <c r="H1074" s="36" t="s">
        <v>56</v>
      </c>
      <c r="I1074" s="48"/>
      <c r="J1074" s="48"/>
      <c r="M1074" s="2"/>
      <c r="O1074"/>
    </row>
    <row r="1075" spans="1:15" x14ac:dyDescent="0.25">
      <c r="A1075">
        <v>849</v>
      </c>
      <c r="D1075" s="2">
        <v>125099.66</v>
      </c>
      <c r="E1075" s="2">
        <v>125099.66</v>
      </c>
      <c r="F1075" s="1"/>
      <c r="G1075"/>
      <c r="H1075" s="36" t="s">
        <v>56</v>
      </c>
      <c r="I1075" s="48"/>
      <c r="J1075" s="48"/>
      <c r="M1075" s="2"/>
      <c r="O1075"/>
    </row>
    <row r="1076" spans="1:15" x14ac:dyDescent="0.25">
      <c r="A1076">
        <v>85</v>
      </c>
      <c r="D1076" s="2">
        <v>56250.560000000005</v>
      </c>
      <c r="E1076" s="2">
        <v>56250.560000000005</v>
      </c>
      <c r="F1076" s="1"/>
      <c r="G1076"/>
      <c r="H1076" s="36" t="s">
        <v>53</v>
      </c>
      <c r="I1076" s="48"/>
      <c r="J1076" s="48"/>
      <c r="M1076" s="2"/>
      <c r="O1076"/>
    </row>
    <row r="1077" spans="1:15" x14ac:dyDescent="0.25">
      <c r="A1077">
        <v>850</v>
      </c>
      <c r="D1077" s="2">
        <v>224861.87</v>
      </c>
      <c r="E1077" s="2">
        <v>224861.87</v>
      </c>
      <c r="F1077" s="1"/>
      <c r="G1077"/>
      <c r="H1077" s="36" t="s">
        <v>56</v>
      </c>
      <c r="I1077" s="48"/>
      <c r="J1077" s="48"/>
      <c r="M1077" s="2"/>
      <c r="O1077"/>
    </row>
    <row r="1078" spans="1:15" x14ac:dyDescent="0.25">
      <c r="A1078">
        <v>851</v>
      </c>
      <c r="D1078" s="2">
        <v>125099.66</v>
      </c>
      <c r="E1078" s="2">
        <v>125099.66</v>
      </c>
      <c r="F1078" s="1"/>
      <c r="G1078"/>
      <c r="H1078" s="36" t="s">
        <v>56</v>
      </c>
      <c r="I1078" s="48"/>
      <c r="J1078" s="48"/>
      <c r="M1078" s="2"/>
      <c r="O1078"/>
    </row>
    <row r="1079" spans="1:15" x14ac:dyDescent="0.25">
      <c r="A1079">
        <v>854</v>
      </c>
      <c r="D1079" s="2">
        <v>224861.87</v>
      </c>
      <c r="E1079" s="2">
        <v>224861.87</v>
      </c>
      <c r="F1079" s="1"/>
      <c r="G1079"/>
      <c r="H1079" s="36" t="s">
        <v>56</v>
      </c>
      <c r="I1079" s="48"/>
      <c r="J1079" s="48"/>
      <c r="M1079" s="2"/>
      <c r="O1079"/>
    </row>
    <row r="1080" spans="1:15" x14ac:dyDescent="0.25">
      <c r="A1080">
        <v>855</v>
      </c>
      <c r="D1080" s="2">
        <v>125099.66</v>
      </c>
      <c r="E1080" s="2">
        <v>125099.66</v>
      </c>
      <c r="F1080" s="1"/>
      <c r="G1080"/>
      <c r="H1080" s="36" t="s">
        <v>56</v>
      </c>
      <c r="I1080" s="48"/>
      <c r="J1080" s="48"/>
      <c r="M1080" s="2"/>
      <c r="O1080"/>
    </row>
    <row r="1081" spans="1:15" x14ac:dyDescent="0.25">
      <c r="A1081">
        <v>856</v>
      </c>
      <c r="D1081" s="2">
        <v>224861.87</v>
      </c>
      <c r="E1081" s="2">
        <v>224861.87</v>
      </c>
      <c r="F1081" s="1"/>
      <c r="G1081"/>
      <c r="H1081" s="36" t="s">
        <v>56</v>
      </c>
      <c r="I1081" s="48"/>
      <c r="J1081" s="48"/>
      <c r="M1081" s="2"/>
      <c r="O1081"/>
    </row>
    <row r="1082" spans="1:15" x14ac:dyDescent="0.25">
      <c r="A1082">
        <v>857</v>
      </c>
      <c r="D1082" s="2">
        <v>125099.66</v>
      </c>
      <c r="E1082" s="2">
        <v>125099.66</v>
      </c>
      <c r="F1082" s="1"/>
      <c r="G1082"/>
      <c r="H1082" s="36" t="s">
        <v>56</v>
      </c>
      <c r="I1082" s="48"/>
      <c r="J1082" s="48"/>
      <c r="M1082" s="2"/>
      <c r="O1082"/>
    </row>
    <row r="1083" spans="1:15" x14ac:dyDescent="0.25">
      <c r="A1083">
        <v>859</v>
      </c>
      <c r="D1083" s="2">
        <v>224861.87</v>
      </c>
      <c r="E1083" s="2">
        <v>224861.87</v>
      </c>
      <c r="F1083" s="1"/>
      <c r="G1083"/>
      <c r="H1083" s="36" t="s">
        <v>56</v>
      </c>
      <c r="I1083" s="48"/>
      <c r="J1083" s="48"/>
      <c r="M1083" s="2"/>
      <c r="O1083"/>
    </row>
    <row r="1084" spans="1:15" x14ac:dyDescent="0.25">
      <c r="A1084">
        <v>86</v>
      </c>
      <c r="D1084" s="2">
        <v>18264.830000000002</v>
      </c>
      <c r="E1084" s="2">
        <v>18264.830000000002</v>
      </c>
      <c r="F1084" s="1"/>
      <c r="G1084"/>
      <c r="H1084" s="36" t="s">
        <v>53</v>
      </c>
      <c r="I1084" s="48"/>
      <c r="J1084" s="48"/>
      <c r="M1084" s="2"/>
      <c r="O1084"/>
    </row>
    <row r="1085" spans="1:15" x14ac:dyDescent="0.25">
      <c r="A1085">
        <v>860</v>
      </c>
      <c r="D1085" s="2">
        <v>125099.66</v>
      </c>
      <c r="E1085" s="2">
        <v>125099.66</v>
      </c>
      <c r="F1085" s="1"/>
      <c r="G1085"/>
      <c r="H1085" s="36" t="s">
        <v>56</v>
      </c>
      <c r="I1085" s="48"/>
      <c r="J1085" s="48"/>
      <c r="M1085" s="2"/>
      <c r="O1085"/>
    </row>
    <row r="1086" spans="1:15" x14ac:dyDescent="0.25">
      <c r="A1086">
        <v>863</v>
      </c>
      <c r="D1086" s="2">
        <v>224861.87</v>
      </c>
      <c r="E1086" s="2">
        <v>224861.87</v>
      </c>
      <c r="F1086" s="1"/>
      <c r="G1086"/>
      <c r="H1086" s="36" t="s">
        <v>56</v>
      </c>
      <c r="I1086" s="48"/>
      <c r="J1086" s="48"/>
      <c r="M1086" s="2"/>
      <c r="O1086"/>
    </row>
    <row r="1087" spans="1:15" x14ac:dyDescent="0.25">
      <c r="A1087">
        <v>864</v>
      </c>
      <c r="D1087" s="2">
        <v>125099.66</v>
      </c>
      <c r="E1087" s="2">
        <v>125099.66</v>
      </c>
      <c r="F1087" s="1"/>
      <c r="G1087"/>
      <c r="H1087" s="36" t="s">
        <v>56</v>
      </c>
      <c r="I1087" s="48"/>
      <c r="J1087" s="48"/>
      <c r="M1087" s="2"/>
      <c r="O1087"/>
    </row>
    <row r="1088" spans="1:15" x14ac:dyDescent="0.25">
      <c r="A1088">
        <v>865</v>
      </c>
      <c r="D1088" s="2">
        <v>224861.87</v>
      </c>
      <c r="E1088" s="2">
        <v>224861.87</v>
      </c>
      <c r="F1088" s="1"/>
      <c r="G1088"/>
      <c r="H1088" s="36" t="s">
        <v>56</v>
      </c>
      <c r="I1088" s="48"/>
      <c r="J1088" s="48"/>
      <c r="M1088" s="2"/>
      <c r="O1088"/>
    </row>
    <row r="1089" spans="1:15" x14ac:dyDescent="0.25">
      <c r="A1089">
        <v>866</v>
      </c>
      <c r="D1089" s="2">
        <v>224861.87</v>
      </c>
      <c r="E1089" s="2">
        <v>224861.87</v>
      </c>
      <c r="F1089" s="1"/>
      <c r="G1089"/>
      <c r="H1089" s="36" t="s">
        <v>56</v>
      </c>
      <c r="I1089" s="48"/>
      <c r="J1089" s="48"/>
      <c r="M1089" s="2"/>
      <c r="O1089"/>
    </row>
    <row r="1090" spans="1:15" x14ac:dyDescent="0.25">
      <c r="A1090">
        <v>867</v>
      </c>
      <c r="D1090" s="2">
        <v>125099.66</v>
      </c>
      <c r="E1090" s="2">
        <v>125099.66</v>
      </c>
      <c r="F1090" s="1"/>
      <c r="G1090"/>
      <c r="H1090" s="36" t="s">
        <v>56</v>
      </c>
      <c r="I1090" s="48"/>
      <c r="J1090" s="48"/>
      <c r="M1090" s="2"/>
      <c r="O1090"/>
    </row>
    <row r="1091" spans="1:15" x14ac:dyDescent="0.25">
      <c r="A1091">
        <v>868</v>
      </c>
      <c r="D1091" s="2">
        <v>158506.1</v>
      </c>
      <c r="E1091" s="2">
        <v>158506.1</v>
      </c>
      <c r="F1091" s="1"/>
      <c r="G1091"/>
      <c r="H1091" s="36" t="s">
        <v>56</v>
      </c>
      <c r="I1091" s="48"/>
      <c r="J1091" s="48"/>
      <c r="M1091" s="2"/>
      <c r="O1091"/>
    </row>
    <row r="1092" spans="1:15" x14ac:dyDescent="0.25">
      <c r="A1092">
        <v>869</v>
      </c>
      <c r="D1092" s="2">
        <v>165966.26</v>
      </c>
      <c r="E1092" s="2">
        <v>165966.26</v>
      </c>
      <c r="F1092" s="1"/>
      <c r="G1092"/>
      <c r="H1092" s="36" t="s">
        <v>56</v>
      </c>
      <c r="I1092" s="48"/>
      <c r="J1092" s="48"/>
      <c r="M1092" s="2"/>
      <c r="O1092"/>
    </row>
    <row r="1093" spans="1:15" x14ac:dyDescent="0.25">
      <c r="A1093">
        <v>87</v>
      </c>
      <c r="D1093" s="2">
        <v>28125.280000000002</v>
      </c>
      <c r="E1093" s="2">
        <v>28125.280000000002</v>
      </c>
      <c r="F1093" s="1"/>
      <c r="G1093"/>
      <c r="H1093" s="36" t="s">
        <v>53</v>
      </c>
      <c r="I1093" s="48"/>
      <c r="J1093" s="48"/>
      <c r="M1093" s="2"/>
      <c r="O1093"/>
    </row>
    <row r="1094" spans="1:15" x14ac:dyDescent="0.25">
      <c r="A1094">
        <v>870</v>
      </c>
      <c r="D1094" s="2">
        <v>158506.1</v>
      </c>
      <c r="E1094" s="2">
        <v>158506.1</v>
      </c>
      <c r="F1094" s="1"/>
      <c r="G1094"/>
      <c r="H1094" s="36" t="s">
        <v>56</v>
      </c>
      <c r="I1094" s="48"/>
      <c r="J1094" s="48"/>
      <c r="M1094" s="2"/>
      <c r="O1094"/>
    </row>
    <row r="1095" spans="1:15" x14ac:dyDescent="0.25">
      <c r="A1095">
        <v>871</v>
      </c>
      <c r="D1095" s="2">
        <v>158506.1</v>
      </c>
      <c r="E1095" s="2">
        <v>158506.1</v>
      </c>
      <c r="F1095" s="1"/>
      <c r="G1095"/>
      <c r="H1095" s="36" t="s">
        <v>56</v>
      </c>
      <c r="I1095" s="48"/>
      <c r="J1095" s="48"/>
      <c r="M1095" s="2"/>
      <c r="O1095"/>
    </row>
    <row r="1096" spans="1:15" x14ac:dyDescent="0.25">
      <c r="A1096">
        <v>872</v>
      </c>
      <c r="D1096" s="2">
        <v>82983.13</v>
      </c>
      <c r="E1096" s="2">
        <v>82983.13</v>
      </c>
      <c r="F1096" s="1"/>
      <c r="G1096"/>
      <c r="H1096" s="36" t="s">
        <v>56</v>
      </c>
      <c r="I1096" s="48"/>
      <c r="J1096" s="48"/>
      <c r="M1096" s="2"/>
      <c r="O1096"/>
    </row>
    <row r="1097" spans="1:15" x14ac:dyDescent="0.25">
      <c r="A1097">
        <v>873</v>
      </c>
      <c r="D1097" s="2">
        <v>82983.13</v>
      </c>
      <c r="E1097" s="2">
        <v>82983.13</v>
      </c>
      <c r="F1097" s="1"/>
      <c r="G1097"/>
      <c r="H1097" s="36" t="s">
        <v>56</v>
      </c>
      <c r="I1097" s="48"/>
      <c r="J1097" s="48"/>
      <c r="M1097" s="2"/>
      <c r="O1097"/>
    </row>
    <row r="1098" spans="1:15" x14ac:dyDescent="0.25">
      <c r="A1098">
        <v>874</v>
      </c>
      <c r="D1098" s="2">
        <v>185427.42</v>
      </c>
      <c r="E1098" s="2">
        <v>185427.42</v>
      </c>
      <c r="F1098" s="1"/>
      <c r="G1098"/>
      <c r="H1098" s="36" t="s">
        <v>56</v>
      </c>
      <c r="I1098" s="48"/>
      <c r="J1098" s="48"/>
      <c r="M1098" s="2"/>
      <c r="O1098"/>
    </row>
    <row r="1099" spans="1:15" x14ac:dyDescent="0.25">
      <c r="A1099">
        <v>875</v>
      </c>
      <c r="D1099" s="2">
        <v>185427.42</v>
      </c>
      <c r="E1099" s="2">
        <v>185427.42</v>
      </c>
      <c r="F1099" s="1"/>
      <c r="G1099"/>
      <c r="H1099" s="36" t="s">
        <v>56</v>
      </c>
      <c r="I1099" s="48"/>
      <c r="J1099" s="48"/>
      <c r="M1099" s="2"/>
      <c r="O1099"/>
    </row>
    <row r="1100" spans="1:15" x14ac:dyDescent="0.25">
      <c r="A1100">
        <v>876</v>
      </c>
      <c r="D1100" s="2">
        <v>185427.42</v>
      </c>
      <c r="E1100" s="2">
        <v>185427.42</v>
      </c>
      <c r="F1100" s="1"/>
      <c r="G1100"/>
      <c r="H1100" s="36" t="s">
        <v>56</v>
      </c>
      <c r="I1100" s="48"/>
      <c r="J1100" s="48"/>
      <c r="M1100" s="2"/>
      <c r="O1100"/>
    </row>
    <row r="1101" spans="1:15" x14ac:dyDescent="0.25">
      <c r="A1101">
        <v>877</v>
      </c>
      <c r="D1101" s="2">
        <v>185427.42</v>
      </c>
      <c r="E1101" s="2">
        <v>185427.42</v>
      </c>
      <c r="F1101" s="1"/>
      <c r="G1101"/>
      <c r="H1101" s="36" t="s">
        <v>56</v>
      </c>
      <c r="I1101" s="48"/>
      <c r="J1101" s="48"/>
      <c r="M1101" s="2"/>
      <c r="O1101"/>
    </row>
    <row r="1102" spans="1:15" x14ac:dyDescent="0.25">
      <c r="A1102">
        <v>878</v>
      </c>
      <c r="D1102" s="2">
        <v>185427.42</v>
      </c>
      <c r="E1102" s="2">
        <v>185427.42</v>
      </c>
      <c r="F1102" s="1"/>
      <c r="G1102"/>
      <c r="H1102" s="36" t="s">
        <v>56</v>
      </c>
      <c r="I1102" s="48"/>
      <c r="J1102" s="48"/>
      <c r="M1102" s="2"/>
      <c r="O1102"/>
    </row>
    <row r="1103" spans="1:15" x14ac:dyDescent="0.25">
      <c r="A1103">
        <v>879</v>
      </c>
      <c r="D1103" s="2">
        <v>185427.42</v>
      </c>
      <c r="E1103" s="2">
        <v>185427.42</v>
      </c>
      <c r="F1103" s="1"/>
      <c r="G1103"/>
      <c r="H1103" s="36" t="s">
        <v>56</v>
      </c>
      <c r="I1103" s="48"/>
      <c r="J1103" s="48"/>
      <c r="M1103" s="2"/>
      <c r="O1103"/>
    </row>
    <row r="1104" spans="1:15" x14ac:dyDescent="0.25">
      <c r="A1104">
        <v>88</v>
      </c>
      <c r="D1104" s="2">
        <v>56250.560000000005</v>
      </c>
      <c r="E1104" s="2">
        <v>56250.560000000005</v>
      </c>
      <c r="F1104" s="1"/>
      <c r="G1104"/>
      <c r="H1104" s="36" t="s">
        <v>53</v>
      </c>
      <c r="I1104" s="48"/>
      <c r="J1104" s="48"/>
      <c r="M1104" s="2"/>
      <c r="O1104"/>
    </row>
    <row r="1105" spans="1:15" x14ac:dyDescent="0.25">
      <c r="A1105">
        <v>880</v>
      </c>
      <c r="D1105" s="2">
        <v>119142.53</v>
      </c>
      <c r="E1105" s="2">
        <v>119142.53</v>
      </c>
      <c r="F1105" s="1"/>
      <c r="G1105"/>
      <c r="H1105" s="36" t="s">
        <v>56</v>
      </c>
      <c r="I1105" s="48"/>
      <c r="J1105" s="48"/>
      <c r="M1105" s="2"/>
      <c r="O1105"/>
    </row>
    <row r="1106" spans="1:15" x14ac:dyDescent="0.25">
      <c r="A1106">
        <v>881</v>
      </c>
      <c r="D1106" s="2">
        <v>119142.53</v>
      </c>
      <c r="E1106" s="2">
        <v>119142.53</v>
      </c>
      <c r="F1106" s="1"/>
      <c r="G1106"/>
      <c r="H1106" s="36" t="s">
        <v>56</v>
      </c>
      <c r="I1106" s="48"/>
      <c r="J1106" s="48"/>
      <c r="M1106" s="2"/>
      <c r="O1106"/>
    </row>
    <row r="1107" spans="1:15" x14ac:dyDescent="0.25">
      <c r="A1107">
        <v>882</v>
      </c>
      <c r="D1107" s="2">
        <v>119142.53</v>
      </c>
      <c r="E1107" s="2">
        <v>119142.53</v>
      </c>
      <c r="F1107" s="1"/>
      <c r="G1107"/>
      <c r="H1107" s="36" t="s">
        <v>56</v>
      </c>
      <c r="I1107" s="48"/>
      <c r="J1107" s="48"/>
      <c r="M1107" s="2"/>
      <c r="O1107"/>
    </row>
    <row r="1108" spans="1:15" x14ac:dyDescent="0.25">
      <c r="A1108">
        <v>883</v>
      </c>
      <c r="D1108" s="2">
        <v>119142.53</v>
      </c>
      <c r="E1108" s="2">
        <v>119142.53</v>
      </c>
      <c r="F1108" s="1"/>
      <c r="G1108"/>
      <c r="H1108" s="36" t="s">
        <v>56</v>
      </c>
      <c r="I1108" s="48"/>
      <c r="J1108" s="48"/>
      <c r="M1108" s="2"/>
      <c r="O1108"/>
    </row>
    <row r="1109" spans="1:15" x14ac:dyDescent="0.25">
      <c r="A1109">
        <v>884</v>
      </c>
      <c r="D1109" s="2">
        <v>119142.53</v>
      </c>
      <c r="E1109" s="2">
        <v>119142.53</v>
      </c>
      <c r="F1109" s="1"/>
      <c r="G1109"/>
      <c r="H1109" s="36" t="s">
        <v>56</v>
      </c>
      <c r="I1109" s="48"/>
      <c r="J1109" s="48"/>
      <c r="M1109" s="2"/>
      <c r="O1109"/>
    </row>
    <row r="1110" spans="1:15" x14ac:dyDescent="0.25">
      <c r="A1110">
        <v>885</v>
      </c>
      <c r="D1110" s="2">
        <v>238285.07</v>
      </c>
      <c r="E1110" s="2">
        <v>238285.07</v>
      </c>
      <c r="F1110" s="1"/>
      <c r="G1110"/>
      <c r="H1110" s="36" t="s">
        <v>56</v>
      </c>
      <c r="I1110" s="48"/>
      <c r="J1110" s="48"/>
      <c r="M1110" s="2"/>
      <c r="O1110"/>
    </row>
    <row r="1111" spans="1:15" x14ac:dyDescent="0.25">
      <c r="A1111">
        <v>886</v>
      </c>
      <c r="D1111" s="2">
        <v>150958.19</v>
      </c>
      <c r="E1111" s="2">
        <v>150958.19</v>
      </c>
      <c r="F1111" s="1"/>
      <c r="G1111"/>
      <c r="H1111" s="36" t="s">
        <v>56</v>
      </c>
      <c r="I1111" s="48"/>
      <c r="J1111" s="48"/>
      <c r="M1111" s="2"/>
      <c r="O1111"/>
    </row>
    <row r="1112" spans="1:15" x14ac:dyDescent="0.25">
      <c r="A1112">
        <v>887</v>
      </c>
      <c r="D1112" s="2">
        <v>79031.55</v>
      </c>
      <c r="E1112" s="2">
        <v>79031.55</v>
      </c>
      <c r="F1112" s="1"/>
      <c r="G1112"/>
      <c r="H1112" s="36" t="s">
        <v>56</v>
      </c>
      <c r="I1112" s="48"/>
      <c r="J1112" s="48"/>
      <c r="M1112" s="2"/>
      <c r="O1112"/>
    </row>
    <row r="1113" spans="1:15" x14ac:dyDescent="0.25">
      <c r="A1113">
        <v>888</v>
      </c>
      <c r="D1113" s="2">
        <v>150958.19</v>
      </c>
      <c r="E1113" s="2">
        <v>150958.19</v>
      </c>
      <c r="F1113" s="1"/>
      <c r="G1113"/>
      <c r="H1113" s="36" t="s">
        <v>56</v>
      </c>
      <c r="I1113" s="48"/>
      <c r="J1113" s="48"/>
      <c r="M1113" s="2"/>
      <c r="O1113"/>
    </row>
    <row r="1114" spans="1:15" x14ac:dyDescent="0.25">
      <c r="A1114">
        <v>889</v>
      </c>
      <c r="D1114" s="2">
        <v>79031.55</v>
      </c>
      <c r="E1114" s="2">
        <v>79031.55</v>
      </c>
      <c r="F1114" s="1"/>
      <c r="G1114"/>
      <c r="H1114" s="36" t="s">
        <v>56</v>
      </c>
      <c r="I1114" s="48"/>
      <c r="J1114" s="48"/>
      <c r="M1114" s="2"/>
      <c r="O1114"/>
    </row>
    <row r="1115" spans="1:15" x14ac:dyDescent="0.25">
      <c r="A1115">
        <v>89</v>
      </c>
      <c r="D1115" s="2">
        <v>56250.560000000005</v>
      </c>
      <c r="E1115" s="2">
        <v>56250.560000000005</v>
      </c>
      <c r="F1115" s="1"/>
      <c r="G1115"/>
      <c r="H1115" s="36" t="s">
        <v>53</v>
      </c>
      <c r="I1115" s="48"/>
      <c r="J1115" s="48"/>
      <c r="M1115" s="2"/>
      <c r="O1115"/>
    </row>
    <row r="1116" spans="1:15" x14ac:dyDescent="0.25">
      <c r="A1116">
        <v>890</v>
      </c>
      <c r="D1116" s="2">
        <v>150958.19</v>
      </c>
      <c r="E1116" s="2">
        <v>150958.19</v>
      </c>
      <c r="F1116" s="1"/>
      <c r="G1116"/>
      <c r="H1116" s="36" t="s">
        <v>56</v>
      </c>
      <c r="I1116" s="48"/>
      <c r="J1116" s="48"/>
      <c r="M1116" s="2"/>
      <c r="O1116"/>
    </row>
    <row r="1117" spans="1:15" x14ac:dyDescent="0.25">
      <c r="A1117">
        <v>891</v>
      </c>
      <c r="D1117" s="2">
        <v>150958.19</v>
      </c>
      <c r="E1117" s="2">
        <v>150958.19</v>
      </c>
      <c r="F1117" s="1"/>
      <c r="G1117"/>
      <c r="H1117" s="36" t="s">
        <v>56</v>
      </c>
      <c r="I1117" s="48"/>
      <c r="J1117" s="48"/>
      <c r="M1117" s="2"/>
      <c r="O1117"/>
    </row>
    <row r="1118" spans="1:15" x14ac:dyDescent="0.25">
      <c r="A1118">
        <v>892</v>
      </c>
      <c r="D1118" s="2">
        <v>150958.19</v>
      </c>
      <c r="E1118" s="2">
        <v>150958.19</v>
      </c>
      <c r="F1118" s="1"/>
      <c r="G1118"/>
      <c r="H1118" s="36" t="s">
        <v>56</v>
      </c>
      <c r="I1118" s="48"/>
      <c r="J1118" s="48"/>
      <c r="M1118" s="2"/>
      <c r="O1118"/>
    </row>
    <row r="1119" spans="1:15" x14ac:dyDescent="0.25">
      <c r="A1119">
        <v>893</v>
      </c>
      <c r="D1119" s="2">
        <v>79031.55</v>
      </c>
      <c r="E1119" s="2">
        <v>79031.55</v>
      </c>
      <c r="F1119" s="1"/>
      <c r="G1119"/>
      <c r="H1119" s="36" t="s">
        <v>56</v>
      </c>
      <c r="I1119" s="48"/>
      <c r="J1119" s="48"/>
      <c r="M1119" s="2"/>
      <c r="O1119"/>
    </row>
    <row r="1120" spans="1:15" x14ac:dyDescent="0.25">
      <c r="A1120">
        <v>894</v>
      </c>
      <c r="D1120" s="2">
        <v>301916.37</v>
      </c>
      <c r="E1120" s="2">
        <v>301916.37</v>
      </c>
      <c r="F1120" s="1"/>
      <c r="G1120"/>
      <c r="H1120" s="36" t="s">
        <v>56</v>
      </c>
      <c r="I1120" s="48"/>
      <c r="J1120" s="48"/>
      <c r="M1120" s="2"/>
      <c r="O1120"/>
    </row>
    <row r="1121" spans="1:15" x14ac:dyDescent="0.25">
      <c r="A1121">
        <v>895</v>
      </c>
      <c r="D1121" s="2">
        <v>158063.09</v>
      </c>
      <c r="E1121" s="2">
        <v>158063.09</v>
      </c>
      <c r="F1121" s="1"/>
      <c r="G1121"/>
      <c r="H1121" s="36" t="s">
        <v>56</v>
      </c>
      <c r="I1121" s="48"/>
      <c r="J1121" s="48"/>
      <c r="M1121" s="2"/>
      <c r="O1121"/>
    </row>
    <row r="1122" spans="1:15" x14ac:dyDescent="0.25">
      <c r="A1122">
        <v>896</v>
      </c>
      <c r="D1122" s="2">
        <v>150958.19</v>
      </c>
      <c r="E1122" s="2">
        <v>150958.19</v>
      </c>
      <c r="F1122" s="1"/>
      <c r="G1122"/>
      <c r="H1122" s="36" t="s">
        <v>56</v>
      </c>
      <c r="I1122" s="48"/>
      <c r="J1122" s="48"/>
      <c r="M1122" s="2"/>
      <c r="O1122"/>
    </row>
    <row r="1123" spans="1:15" x14ac:dyDescent="0.25">
      <c r="A1123">
        <v>897</v>
      </c>
      <c r="D1123" s="2">
        <v>79031.55</v>
      </c>
      <c r="E1123" s="2">
        <v>79031.55</v>
      </c>
      <c r="F1123" s="1"/>
      <c r="G1123"/>
      <c r="H1123" s="36" t="s">
        <v>56</v>
      </c>
      <c r="I1123" s="48"/>
      <c r="J1123" s="48"/>
      <c r="M1123" s="2"/>
      <c r="O1123"/>
    </row>
    <row r="1124" spans="1:15" x14ac:dyDescent="0.25">
      <c r="A1124">
        <v>898</v>
      </c>
      <c r="D1124" s="2">
        <v>185427.42</v>
      </c>
      <c r="E1124" s="2">
        <v>185427.42</v>
      </c>
      <c r="F1124" s="1"/>
      <c r="G1124"/>
      <c r="H1124" s="36" t="s">
        <v>56</v>
      </c>
      <c r="I1124" s="48"/>
      <c r="J1124" s="48"/>
      <c r="M1124" s="2"/>
      <c r="O1124"/>
    </row>
    <row r="1125" spans="1:15" x14ac:dyDescent="0.25">
      <c r="A1125">
        <v>899</v>
      </c>
      <c r="D1125" s="2">
        <v>119142.53</v>
      </c>
      <c r="E1125" s="2">
        <v>119142.53</v>
      </c>
      <c r="F1125" s="1"/>
      <c r="G1125"/>
      <c r="H1125" s="36" t="s">
        <v>56</v>
      </c>
      <c r="I1125" s="48"/>
      <c r="J1125" s="48"/>
      <c r="M1125" s="2"/>
      <c r="O1125"/>
    </row>
    <row r="1126" spans="1:15" x14ac:dyDescent="0.25">
      <c r="A1126">
        <v>9</v>
      </c>
      <c r="D1126" s="2">
        <v>36776.47</v>
      </c>
      <c r="E1126" s="2">
        <v>36776.47</v>
      </c>
      <c r="F1126" s="1"/>
      <c r="G1126"/>
      <c r="H1126" s="36" t="s">
        <v>54</v>
      </c>
      <c r="I1126" s="48"/>
      <c r="J1126" s="48"/>
      <c r="M1126" s="2"/>
      <c r="O1126"/>
    </row>
    <row r="1127" spans="1:15" x14ac:dyDescent="0.25">
      <c r="A1127">
        <v>90</v>
      </c>
      <c r="D1127" s="2">
        <v>11817.2</v>
      </c>
      <c r="E1127" s="2">
        <v>11817.2</v>
      </c>
      <c r="F1127" s="1"/>
      <c r="G1127"/>
      <c r="H1127" s="36" t="s">
        <v>55</v>
      </c>
      <c r="I1127" s="48"/>
      <c r="J1127" s="48"/>
      <c r="M1127" s="2"/>
      <c r="O1127"/>
    </row>
    <row r="1128" spans="1:15" x14ac:dyDescent="0.25">
      <c r="A1128">
        <v>900</v>
      </c>
      <c r="D1128" s="2">
        <v>119142.53</v>
      </c>
      <c r="E1128" s="2">
        <v>119142.53</v>
      </c>
      <c r="F1128" s="1"/>
      <c r="G1128"/>
      <c r="H1128" s="36" t="s">
        <v>56</v>
      </c>
      <c r="I1128" s="48"/>
      <c r="J1128" s="48"/>
      <c r="M1128" s="2"/>
      <c r="O1128"/>
    </row>
    <row r="1129" spans="1:15" x14ac:dyDescent="0.25">
      <c r="A1129">
        <v>901</v>
      </c>
      <c r="D1129" s="2">
        <v>119142.53</v>
      </c>
      <c r="E1129" s="2">
        <v>119142.53</v>
      </c>
      <c r="F1129" s="1"/>
      <c r="G1129"/>
      <c r="H1129" s="36" t="s">
        <v>56</v>
      </c>
      <c r="I1129" s="48"/>
      <c r="J1129" s="48"/>
      <c r="M1129" s="2"/>
      <c r="O1129"/>
    </row>
    <row r="1130" spans="1:15" x14ac:dyDescent="0.25">
      <c r="A1130">
        <v>902</v>
      </c>
      <c r="D1130" s="2">
        <v>119142.53</v>
      </c>
      <c r="E1130" s="2">
        <v>119142.53</v>
      </c>
      <c r="F1130" s="1"/>
      <c r="G1130"/>
      <c r="H1130" s="36" t="s">
        <v>56</v>
      </c>
      <c r="I1130" s="48"/>
      <c r="J1130" s="48"/>
      <c r="M1130" s="2"/>
      <c r="O1130"/>
    </row>
    <row r="1131" spans="1:15" x14ac:dyDescent="0.25">
      <c r="A1131">
        <v>903</v>
      </c>
      <c r="D1131" s="2">
        <v>119142.53</v>
      </c>
      <c r="E1131" s="2">
        <v>119142.53</v>
      </c>
      <c r="F1131" s="1"/>
      <c r="G1131"/>
      <c r="H1131" s="36" t="s">
        <v>56</v>
      </c>
      <c r="I1131" s="48"/>
      <c r="J1131" s="48"/>
      <c r="M1131" s="2"/>
      <c r="O1131"/>
    </row>
    <row r="1132" spans="1:15" x14ac:dyDescent="0.25">
      <c r="A1132">
        <v>904</v>
      </c>
      <c r="D1132" s="2">
        <v>185427.42</v>
      </c>
      <c r="E1132" s="2">
        <v>185427.42</v>
      </c>
      <c r="F1132" s="1"/>
      <c r="G1132"/>
      <c r="H1132" s="36" t="s">
        <v>56</v>
      </c>
      <c r="I1132" s="48"/>
      <c r="J1132" s="48"/>
      <c r="M1132" s="2"/>
      <c r="O1132"/>
    </row>
    <row r="1133" spans="1:15" x14ac:dyDescent="0.25">
      <c r="A1133">
        <v>905</v>
      </c>
      <c r="D1133" s="2">
        <v>119142.53</v>
      </c>
      <c r="E1133" s="2">
        <v>119142.53</v>
      </c>
      <c r="F1133" s="1"/>
      <c r="G1133"/>
      <c r="H1133" s="36" t="s">
        <v>56</v>
      </c>
      <c r="I1133" s="48"/>
      <c r="J1133" s="48"/>
      <c r="M1133" s="2"/>
      <c r="O1133"/>
    </row>
    <row r="1134" spans="1:15" x14ac:dyDescent="0.25">
      <c r="A1134">
        <v>906</v>
      </c>
      <c r="D1134" s="2">
        <v>185427.42</v>
      </c>
      <c r="E1134" s="2">
        <v>185427.42</v>
      </c>
      <c r="F1134" s="1"/>
      <c r="G1134"/>
      <c r="H1134" s="36" t="s">
        <v>56</v>
      </c>
      <c r="I1134" s="48"/>
      <c r="J1134" s="48"/>
      <c r="M1134" s="2"/>
      <c r="O1134"/>
    </row>
    <row r="1135" spans="1:15" x14ac:dyDescent="0.25">
      <c r="A1135">
        <v>907</v>
      </c>
      <c r="D1135" s="2">
        <v>119142.53</v>
      </c>
      <c r="E1135" s="2">
        <v>119142.53</v>
      </c>
      <c r="F1135" s="1"/>
      <c r="G1135"/>
      <c r="H1135" s="36" t="s">
        <v>56</v>
      </c>
      <c r="I1135" s="48"/>
      <c r="J1135" s="48"/>
      <c r="M1135" s="2"/>
      <c r="O1135"/>
    </row>
    <row r="1136" spans="1:15" x14ac:dyDescent="0.25">
      <c r="A1136">
        <v>908</v>
      </c>
      <c r="D1136" s="2">
        <v>185427.42</v>
      </c>
      <c r="E1136" s="2">
        <v>185427.42</v>
      </c>
      <c r="F1136" s="1"/>
      <c r="G1136"/>
      <c r="H1136" s="36" t="s">
        <v>56</v>
      </c>
      <c r="I1136" s="48"/>
      <c r="J1136" s="48"/>
      <c r="M1136" s="2"/>
      <c r="O1136"/>
    </row>
    <row r="1137" spans="1:15" x14ac:dyDescent="0.25">
      <c r="A1137">
        <v>909</v>
      </c>
      <c r="D1137" s="2">
        <v>119142.53</v>
      </c>
      <c r="E1137" s="2">
        <v>119142.53</v>
      </c>
      <c r="F1137" s="1"/>
      <c r="G1137"/>
      <c r="H1137" s="36" t="s">
        <v>56</v>
      </c>
      <c r="I1137" s="48"/>
      <c r="J1137" s="48"/>
      <c r="M1137" s="2"/>
      <c r="O1137"/>
    </row>
    <row r="1138" spans="1:15" x14ac:dyDescent="0.25">
      <c r="A1138">
        <v>910</v>
      </c>
      <c r="D1138" s="2">
        <v>185427.42</v>
      </c>
      <c r="E1138" s="2">
        <v>185427.42</v>
      </c>
      <c r="F1138" s="1"/>
      <c r="G1138"/>
      <c r="H1138" s="36" t="s">
        <v>56</v>
      </c>
      <c r="I1138" s="48"/>
      <c r="J1138" s="48"/>
      <c r="M1138" s="2"/>
      <c r="O1138"/>
    </row>
    <row r="1139" spans="1:15" x14ac:dyDescent="0.25">
      <c r="A1139">
        <v>911</v>
      </c>
      <c r="D1139" s="2">
        <v>119142.53</v>
      </c>
      <c r="E1139" s="2">
        <v>119142.53</v>
      </c>
      <c r="F1139" s="1"/>
      <c r="G1139"/>
      <c r="H1139" s="36" t="s">
        <v>56</v>
      </c>
      <c r="I1139" s="48"/>
      <c r="J1139" s="48"/>
      <c r="M1139" s="2"/>
      <c r="O1139"/>
    </row>
    <row r="1140" spans="1:15" x14ac:dyDescent="0.25">
      <c r="A1140">
        <v>912</v>
      </c>
      <c r="D1140" s="2">
        <v>185427.42</v>
      </c>
      <c r="E1140" s="2">
        <v>185427.42</v>
      </c>
      <c r="F1140" s="1"/>
      <c r="G1140"/>
      <c r="H1140" s="36" t="s">
        <v>56</v>
      </c>
      <c r="I1140" s="48"/>
      <c r="J1140" s="48"/>
      <c r="M1140" s="2"/>
      <c r="O1140"/>
    </row>
    <row r="1141" spans="1:15" x14ac:dyDescent="0.25">
      <c r="A1141">
        <v>913</v>
      </c>
      <c r="D1141" s="2">
        <v>119142.53</v>
      </c>
      <c r="E1141" s="2">
        <v>119142.53</v>
      </c>
      <c r="F1141" s="1"/>
      <c r="G1141"/>
      <c r="H1141" s="36" t="s">
        <v>56</v>
      </c>
      <c r="I1141" s="48"/>
      <c r="J1141" s="48"/>
      <c r="M1141" s="2"/>
      <c r="O1141"/>
    </row>
    <row r="1142" spans="1:15" x14ac:dyDescent="0.25">
      <c r="A1142">
        <v>914</v>
      </c>
      <c r="D1142" s="2">
        <v>185427.42</v>
      </c>
      <c r="E1142" s="2">
        <v>185427.42</v>
      </c>
      <c r="F1142" s="1"/>
      <c r="G1142"/>
      <c r="H1142" s="36" t="s">
        <v>56</v>
      </c>
      <c r="I1142" s="48"/>
      <c r="J1142" s="48"/>
      <c r="M1142" s="2"/>
      <c r="O1142"/>
    </row>
    <row r="1143" spans="1:15" x14ac:dyDescent="0.25">
      <c r="A1143">
        <v>915</v>
      </c>
      <c r="D1143" s="2">
        <v>119142.53</v>
      </c>
      <c r="E1143" s="2">
        <v>119142.53</v>
      </c>
      <c r="F1143" s="1"/>
      <c r="G1143"/>
      <c r="H1143" s="36" t="s">
        <v>56</v>
      </c>
      <c r="I1143" s="48"/>
      <c r="J1143" s="48"/>
      <c r="M1143" s="2"/>
      <c r="O1143"/>
    </row>
    <row r="1144" spans="1:15" x14ac:dyDescent="0.25">
      <c r="A1144">
        <v>916</v>
      </c>
      <c r="D1144" s="2">
        <v>185427.42</v>
      </c>
      <c r="E1144" s="2">
        <v>185427.42</v>
      </c>
      <c r="F1144" s="1"/>
      <c r="G1144"/>
      <c r="H1144" s="36" t="s">
        <v>56</v>
      </c>
      <c r="I1144" s="48"/>
      <c r="J1144" s="48"/>
      <c r="M1144" s="2"/>
      <c r="O1144"/>
    </row>
    <row r="1145" spans="1:15" x14ac:dyDescent="0.25">
      <c r="A1145">
        <v>917</v>
      </c>
      <c r="D1145" s="2">
        <v>119142.53</v>
      </c>
      <c r="E1145" s="2">
        <v>119142.53</v>
      </c>
      <c r="F1145" s="1"/>
      <c r="G1145"/>
      <c r="H1145" s="36" t="s">
        <v>56</v>
      </c>
      <c r="I1145" s="48"/>
      <c r="J1145" s="48"/>
      <c r="M1145" s="2"/>
      <c r="O1145"/>
    </row>
    <row r="1146" spans="1:15" x14ac:dyDescent="0.25">
      <c r="A1146">
        <v>918</v>
      </c>
      <c r="D1146" s="2">
        <v>185427.42</v>
      </c>
      <c r="E1146" s="2">
        <v>185427.42</v>
      </c>
      <c r="F1146" s="1"/>
      <c r="G1146"/>
      <c r="H1146" s="36" t="s">
        <v>56</v>
      </c>
      <c r="I1146" s="48"/>
      <c r="J1146" s="48"/>
      <c r="M1146" s="2"/>
      <c r="O1146"/>
    </row>
    <row r="1147" spans="1:15" x14ac:dyDescent="0.25">
      <c r="A1147">
        <v>919</v>
      </c>
      <c r="D1147" s="2">
        <v>119142.53</v>
      </c>
      <c r="E1147" s="2">
        <v>119142.53</v>
      </c>
      <c r="F1147" s="1"/>
      <c r="G1147"/>
      <c r="H1147" s="36" t="s">
        <v>56</v>
      </c>
      <c r="I1147" s="48"/>
      <c r="J1147" s="48"/>
      <c r="M1147" s="2"/>
      <c r="O1147"/>
    </row>
    <row r="1148" spans="1:15" x14ac:dyDescent="0.25">
      <c r="A1148">
        <v>92</v>
      </c>
      <c r="D1148" s="2">
        <v>68126.39</v>
      </c>
      <c r="E1148" s="2">
        <v>68126.39</v>
      </c>
      <c r="F1148" s="1"/>
      <c r="G1148"/>
      <c r="H1148" s="36" t="s">
        <v>56</v>
      </c>
      <c r="I1148" s="48"/>
      <c r="J1148" s="48"/>
      <c r="M1148" s="2"/>
      <c r="O1148"/>
    </row>
    <row r="1149" spans="1:15" x14ac:dyDescent="0.25">
      <c r="A1149">
        <v>920</v>
      </c>
      <c r="D1149" s="2">
        <v>185427.42</v>
      </c>
      <c r="E1149" s="2">
        <v>185427.42</v>
      </c>
      <c r="F1149" s="1"/>
      <c r="G1149"/>
      <c r="H1149" s="36" t="s">
        <v>56</v>
      </c>
      <c r="I1149" s="48"/>
      <c r="J1149" s="48"/>
      <c r="M1149" s="2"/>
      <c r="O1149"/>
    </row>
    <row r="1150" spans="1:15" x14ac:dyDescent="0.25">
      <c r="A1150">
        <v>921</v>
      </c>
      <c r="D1150" s="2">
        <v>119142.53</v>
      </c>
      <c r="E1150" s="2">
        <v>119142.53</v>
      </c>
      <c r="F1150" s="1"/>
      <c r="G1150"/>
      <c r="H1150" s="36" t="s">
        <v>56</v>
      </c>
      <c r="I1150" s="48"/>
      <c r="J1150" s="48"/>
      <c r="M1150" s="2"/>
      <c r="O1150"/>
    </row>
    <row r="1151" spans="1:15" x14ac:dyDescent="0.25">
      <c r="A1151">
        <v>922</v>
      </c>
      <c r="D1151" s="2">
        <v>72183.28</v>
      </c>
      <c r="E1151" s="2">
        <v>72183.28</v>
      </c>
      <c r="F1151" s="1"/>
      <c r="G1151"/>
      <c r="H1151" s="36" t="s">
        <v>56</v>
      </c>
      <c r="I1151" s="48"/>
      <c r="J1151" s="48"/>
      <c r="M1151" s="2"/>
      <c r="O1151"/>
    </row>
    <row r="1152" spans="1:15" x14ac:dyDescent="0.25">
      <c r="A1152">
        <v>923</v>
      </c>
      <c r="D1152" s="2">
        <v>72183.28</v>
      </c>
      <c r="E1152" s="2">
        <v>72183.28</v>
      </c>
      <c r="F1152" s="1"/>
      <c r="G1152"/>
      <c r="H1152" s="36" t="s">
        <v>56</v>
      </c>
      <c r="I1152" s="48"/>
      <c r="J1152" s="48"/>
      <c r="M1152" s="2"/>
      <c r="O1152"/>
    </row>
    <row r="1153" spans="1:15" x14ac:dyDescent="0.25">
      <c r="A1153">
        <v>924</v>
      </c>
      <c r="D1153" s="2">
        <v>72183.28</v>
      </c>
      <c r="E1153" s="2">
        <v>72183.28</v>
      </c>
      <c r="F1153" s="1"/>
      <c r="G1153"/>
      <c r="H1153" s="36" t="s">
        <v>56</v>
      </c>
      <c r="I1153" s="48"/>
      <c r="J1153" s="48"/>
      <c r="M1153" s="2"/>
      <c r="O1153"/>
    </row>
    <row r="1154" spans="1:15" x14ac:dyDescent="0.25">
      <c r="A1154">
        <v>925</v>
      </c>
      <c r="D1154" s="2">
        <v>72183.28</v>
      </c>
      <c r="E1154" s="2">
        <v>72183.28</v>
      </c>
      <c r="F1154" s="1"/>
      <c r="G1154"/>
      <c r="H1154" s="36" t="s">
        <v>56</v>
      </c>
      <c r="I1154" s="48"/>
      <c r="J1154" s="48"/>
      <c r="M1154" s="2"/>
      <c r="O1154"/>
    </row>
    <row r="1155" spans="1:15" x14ac:dyDescent="0.25">
      <c r="A1155">
        <v>926</v>
      </c>
      <c r="D1155" s="2">
        <v>449723.74</v>
      </c>
      <c r="E1155" s="2">
        <v>449723.74</v>
      </c>
      <c r="F1155" s="1"/>
      <c r="G1155"/>
      <c r="H1155" s="36" t="s">
        <v>56</v>
      </c>
      <c r="I1155" s="48"/>
      <c r="J1155" s="48"/>
      <c r="M1155" s="2"/>
      <c r="O1155"/>
    </row>
    <row r="1156" spans="1:15" x14ac:dyDescent="0.25">
      <c r="A1156">
        <v>927</v>
      </c>
      <c r="D1156" s="2">
        <v>250199.31</v>
      </c>
      <c r="E1156" s="2">
        <v>250199.31</v>
      </c>
      <c r="F1156" s="1"/>
      <c r="G1156"/>
      <c r="H1156" s="36" t="s">
        <v>56</v>
      </c>
      <c r="I1156" s="48"/>
      <c r="J1156" s="48"/>
      <c r="M1156" s="2"/>
      <c r="O1156"/>
    </row>
    <row r="1157" spans="1:15" x14ac:dyDescent="0.25">
      <c r="A1157">
        <v>928</v>
      </c>
      <c r="D1157" s="2">
        <v>449723.74</v>
      </c>
      <c r="E1157" s="2">
        <v>449723.74</v>
      </c>
      <c r="F1157" s="1"/>
      <c r="G1157"/>
      <c r="H1157" s="36" t="s">
        <v>56</v>
      </c>
      <c r="I1157" s="48"/>
      <c r="J1157" s="48"/>
      <c r="M1157" s="2"/>
      <c r="O1157"/>
    </row>
    <row r="1158" spans="1:15" x14ac:dyDescent="0.25">
      <c r="A1158">
        <v>929</v>
      </c>
      <c r="D1158" s="2">
        <v>449723.74</v>
      </c>
      <c r="E1158" s="2">
        <v>449723.74</v>
      </c>
      <c r="F1158" s="1"/>
      <c r="G1158"/>
      <c r="H1158" s="36" t="s">
        <v>56</v>
      </c>
      <c r="I1158" s="48"/>
      <c r="J1158" s="48"/>
      <c r="M1158" s="2"/>
      <c r="O1158"/>
    </row>
    <row r="1159" spans="1:15" x14ac:dyDescent="0.25">
      <c r="A1159">
        <v>93</v>
      </c>
      <c r="D1159" s="2">
        <v>68126.39</v>
      </c>
      <c r="E1159" s="2">
        <v>68126.39</v>
      </c>
      <c r="F1159" s="1"/>
      <c r="G1159"/>
      <c r="H1159" s="36" t="s">
        <v>56</v>
      </c>
      <c r="I1159" s="48"/>
      <c r="J1159" s="48"/>
      <c r="M1159" s="2"/>
      <c r="O1159"/>
    </row>
    <row r="1160" spans="1:15" x14ac:dyDescent="0.25">
      <c r="A1160">
        <v>930</v>
      </c>
      <c r="D1160" s="2">
        <v>250199.31</v>
      </c>
      <c r="E1160" s="2">
        <v>250199.31</v>
      </c>
      <c r="F1160" s="1"/>
      <c r="G1160"/>
      <c r="H1160" s="36" t="s">
        <v>56</v>
      </c>
      <c r="I1160" s="48"/>
      <c r="J1160" s="48"/>
      <c r="M1160" s="2"/>
      <c r="O1160"/>
    </row>
    <row r="1161" spans="1:15" x14ac:dyDescent="0.25">
      <c r="A1161">
        <v>932</v>
      </c>
      <c r="D1161" s="2">
        <v>185427.42</v>
      </c>
      <c r="E1161" s="2">
        <v>185427.42</v>
      </c>
      <c r="F1161" s="1"/>
      <c r="G1161"/>
      <c r="H1161" s="36" t="s">
        <v>56</v>
      </c>
      <c r="I1161" s="48"/>
      <c r="J1161" s="48"/>
      <c r="M1161" s="2"/>
      <c r="O1161"/>
    </row>
    <row r="1162" spans="1:15" x14ac:dyDescent="0.25">
      <c r="A1162">
        <v>933</v>
      </c>
      <c r="D1162" s="2">
        <v>119142.53</v>
      </c>
      <c r="E1162" s="2">
        <v>119142.53</v>
      </c>
      <c r="F1162" s="1"/>
      <c r="G1162"/>
      <c r="H1162" s="36" t="s">
        <v>56</v>
      </c>
      <c r="I1162" s="48"/>
      <c r="J1162" s="48"/>
      <c r="M1162" s="2"/>
      <c r="O1162"/>
    </row>
    <row r="1163" spans="1:15" x14ac:dyDescent="0.25">
      <c r="A1163">
        <v>934</v>
      </c>
      <c r="D1163" s="2">
        <v>185427.42</v>
      </c>
      <c r="E1163" s="2">
        <v>185427.42</v>
      </c>
      <c r="F1163" s="1"/>
      <c r="G1163"/>
      <c r="H1163" s="36" t="s">
        <v>56</v>
      </c>
      <c r="I1163" s="48"/>
      <c r="J1163" s="48"/>
      <c r="M1163" s="2"/>
      <c r="O1163"/>
    </row>
    <row r="1164" spans="1:15" x14ac:dyDescent="0.25">
      <c r="A1164">
        <v>935</v>
      </c>
      <c r="D1164" s="2">
        <v>119142.53</v>
      </c>
      <c r="E1164" s="2">
        <v>119142.53</v>
      </c>
      <c r="F1164" s="1"/>
      <c r="G1164"/>
      <c r="H1164" s="36" t="s">
        <v>56</v>
      </c>
      <c r="I1164" s="48"/>
      <c r="J1164" s="48"/>
      <c r="M1164" s="2"/>
      <c r="O1164"/>
    </row>
    <row r="1165" spans="1:15" x14ac:dyDescent="0.25">
      <c r="A1165">
        <v>936</v>
      </c>
      <c r="D1165" s="2">
        <v>185427.42</v>
      </c>
      <c r="E1165" s="2">
        <v>185427.42</v>
      </c>
      <c r="F1165" s="1"/>
      <c r="G1165"/>
      <c r="H1165" s="36" t="s">
        <v>56</v>
      </c>
      <c r="I1165" s="48"/>
      <c r="J1165" s="48"/>
      <c r="M1165" s="2"/>
      <c r="O1165"/>
    </row>
    <row r="1166" spans="1:15" x14ac:dyDescent="0.25">
      <c r="A1166">
        <v>937</v>
      </c>
      <c r="D1166" s="2">
        <v>119142.53</v>
      </c>
      <c r="E1166" s="2">
        <v>119142.53</v>
      </c>
      <c r="F1166" s="1"/>
      <c r="G1166"/>
      <c r="H1166" s="36" t="s">
        <v>56</v>
      </c>
      <c r="I1166" s="48"/>
      <c r="J1166" s="48"/>
      <c r="M1166" s="2"/>
      <c r="O1166"/>
    </row>
    <row r="1167" spans="1:15" x14ac:dyDescent="0.25">
      <c r="A1167">
        <v>938</v>
      </c>
      <c r="D1167" s="2">
        <v>5029</v>
      </c>
      <c r="E1167" s="2">
        <v>5029</v>
      </c>
      <c r="F1167" s="1"/>
      <c r="G1167"/>
      <c r="H1167" s="36" t="s">
        <v>58</v>
      </c>
      <c r="I1167" s="48"/>
      <c r="J1167" s="48"/>
      <c r="M1167" s="2"/>
      <c r="O1167"/>
    </row>
    <row r="1168" spans="1:15" x14ac:dyDescent="0.25">
      <c r="A1168">
        <v>939</v>
      </c>
      <c r="D1168" s="2">
        <v>20159.78</v>
      </c>
      <c r="E1168" s="2">
        <v>20159.78</v>
      </c>
      <c r="F1168" s="1"/>
      <c r="G1168"/>
      <c r="H1168" s="36" t="s">
        <v>56</v>
      </c>
      <c r="I1168" s="48"/>
      <c r="J1168" s="48"/>
      <c r="M1168" s="2"/>
      <c r="O1168"/>
    </row>
    <row r="1169" spans="1:15" x14ac:dyDescent="0.25">
      <c r="A1169">
        <v>94</v>
      </c>
      <c r="D1169" s="2">
        <v>68126.39</v>
      </c>
      <c r="E1169" s="2">
        <v>68126.39</v>
      </c>
      <c r="F1169" s="1"/>
      <c r="G1169"/>
      <c r="H1169" s="36" t="s">
        <v>56</v>
      </c>
      <c r="I1169" s="48"/>
      <c r="J1169" s="48"/>
      <c r="M1169" s="2"/>
      <c r="O1169"/>
    </row>
    <row r="1170" spans="1:15" x14ac:dyDescent="0.25">
      <c r="A1170">
        <v>940</v>
      </c>
      <c r="D1170" s="2">
        <v>101585.74</v>
      </c>
      <c r="E1170" s="2">
        <v>101585.74</v>
      </c>
      <c r="F1170" s="1"/>
      <c r="G1170"/>
      <c r="H1170" s="36" t="s">
        <v>56</v>
      </c>
      <c r="I1170" s="48"/>
      <c r="J1170" s="48"/>
      <c r="M1170" s="2"/>
      <c r="O1170"/>
    </row>
    <row r="1171" spans="1:15" x14ac:dyDescent="0.25">
      <c r="A1171">
        <v>941</v>
      </c>
      <c r="D1171" s="2">
        <v>3285000</v>
      </c>
      <c r="E1171" s="2">
        <v>3285000</v>
      </c>
      <c r="F1171" s="1"/>
      <c r="G1171"/>
      <c r="H1171" s="36" t="s">
        <v>105</v>
      </c>
      <c r="I1171" s="48"/>
      <c r="J1171" s="48"/>
      <c r="M1171" s="2"/>
      <c r="O1171"/>
    </row>
    <row r="1172" spans="1:15" x14ac:dyDescent="0.25">
      <c r="A1172">
        <v>942</v>
      </c>
      <c r="D1172" s="2">
        <v>6840000</v>
      </c>
      <c r="E1172" s="2">
        <v>6840000</v>
      </c>
      <c r="F1172" s="1"/>
      <c r="G1172"/>
      <c r="H1172" s="36" t="s">
        <v>105</v>
      </c>
      <c r="I1172" s="48"/>
      <c r="J1172" s="48"/>
    </row>
    <row r="1173" spans="1:15" x14ac:dyDescent="0.25">
      <c r="A1173">
        <v>943</v>
      </c>
      <c r="D1173" s="2">
        <v>299981.15999999997</v>
      </c>
      <c r="E1173" s="2">
        <v>299981.15999999997</v>
      </c>
      <c r="F1173" s="1"/>
      <c r="G1173"/>
      <c r="H1173" s="36" t="s">
        <v>108</v>
      </c>
      <c r="I1173" s="48"/>
      <c r="J1173" s="48"/>
    </row>
    <row r="1174" spans="1:15" x14ac:dyDescent="0.25">
      <c r="A1174">
        <v>944</v>
      </c>
      <c r="D1174" s="2">
        <v>310555.17</v>
      </c>
      <c r="E1174" s="2">
        <v>310555.17</v>
      </c>
      <c r="F1174" s="1"/>
      <c r="G1174"/>
      <c r="H1174" s="36" t="s">
        <v>108</v>
      </c>
      <c r="I1174" s="48"/>
      <c r="J1174" s="48"/>
    </row>
    <row r="1175" spans="1:15" x14ac:dyDescent="0.25">
      <c r="A1175">
        <v>945</v>
      </c>
      <c r="D1175" s="2">
        <v>167276.17000000001</v>
      </c>
      <c r="E1175" s="2">
        <v>167276.17000000001</v>
      </c>
      <c r="F1175" s="1"/>
      <c r="G1175"/>
      <c r="H1175" s="36" t="s">
        <v>108</v>
      </c>
      <c r="I1175" s="48"/>
      <c r="J1175" s="48"/>
    </row>
    <row r="1176" spans="1:15" x14ac:dyDescent="0.25">
      <c r="A1176">
        <v>946</v>
      </c>
      <c r="D1176" s="2">
        <v>111682.51</v>
      </c>
      <c r="E1176" s="2">
        <v>111682.51</v>
      </c>
      <c r="F1176" s="1"/>
      <c r="G1176"/>
      <c r="H1176" s="36" t="s">
        <v>108</v>
      </c>
      <c r="I1176" s="48"/>
      <c r="J1176" s="48"/>
    </row>
    <row r="1177" spans="1:15" x14ac:dyDescent="0.25">
      <c r="A1177">
        <v>947</v>
      </c>
      <c r="D1177" s="2">
        <v>84903.17</v>
      </c>
      <c r="E1177" s="2">
        <v>84903.17</v>
      </c>
      <c r="F1177" s="1"/>
      <c r="G1177"/>
      <c r="H1177" s="36" t="s">
        <v>108</v>
      </c>
      <c r="I1177" s="48"/>
      <c r="J1177" s="48"/>
    </row>
    <row r="1178" spans="1:15" x14ac:dyDescent="0.25">
      <c r="A1178">
        <v>948</v>
      </c>
      <c r="D1178" s="2">
        <v>64023.16</v>
      </c>
      <c r="E1178" s="2">
        <v>64023.16</v>
      </c>
      <c r="F1178" s="1"/>
      <c r="G1178"/>
      <c r="H1178" s="36" t="s">
        <v>108</v>
      </c>
      <c r="I1178" s="48"/>
      <c r="J1178" s="48"/>
    </row>
    <row r="1179" spans="1:15" x14ac:dyDescent="0.25">
      <c r="A1179">
        <v>949</v>
      </c>
      <c r="D1179" s="2">
        <v>26768.05</v>
      </c>
      <c r="E1179" s="2">
        <v>26768.05</v>
      </c>
      <c r="F1179" s="1"/>
      <c r="G1179"/>
      <c r="H1179" s="36" t="s">
        <v>108</v>
      </c>
      <c r="I1179" s="48"/>
      <c r="J1179" s="48"/>
    </row>
    <row r="1180" spans="1:15" x14ac:dyDescent="0.25">
      <c r="A1180">
        <v>950</v>
      </c>
      <c r="D1180" s="2">
        <v>167276.17000000001</v>
      </c>
      <c r="E1180" s="2">
        <v>167276.17000000001</v>
      </c>
      <c r="F1180" s="1"/>
      <c r="G1180"/>
      <c r="H1180" s="36" t="s">
        <v>108</v>
      </c>
      <c r="I1180" s="48"/>
      <c r="J1180" s="48"/>
    </row>
    <row r="1181" spans="1:15" x14ac:dyDescent="0.25">
      <c r="A1181">
        <v>951</v>
      </c>
      <c r="D1181" s="2">
        <v>111682.51</v>
      </c>
      <c r="E1181" s="2">
        <v>111682.51</v>
      </c>
      <c r="F1181" s="1"/>
      <c r="G1181"/>
      <c r="H1181" s="36" t="s">
        <v>108</v>
      </c>
      <c r="I1181" s="48"/>
      <c r="J1181" s="48"/>
    </row>
    <row r="1182" spans="1:15" x14ac:dyDescent="0.25">
      <c r="A1182">
        <v>952</v>
      </c>
      <c r="D1182" s="2">
        <v>84903.17</v>
      </c>
      <c r="E1182" s="2">
        <v>84903.17</v>
      </c>
      <c r="F1182" s="1"/>
      <c r="G1182"/>
      <c r="H1182" s="36" t="s">
        <v>108</v>
      </c>
      <c r="I1182" s="48"/>
      <c r="J1182" s="48"/>
    </row>
    <row r="1183" spans="1:15" x14ac:dyDescent="0.25">
      <c r="A1183">
        <v>953</v>
      </c>
      <c r="D1183" s="2">
        <v>64023.16</v>
      </c>
      <c r="E1183" s="2">
        <v>64023.16</v>
      </c>
      <c r="F1183" s="1"/>
      <c r="G1183"/>
      <c r="H1183" s="36" t="s">
        <v>108</v>
      </c>
      <c r="I1183" s="48"/>
      <c r="J1183" s="48"/>
    </row>
    <row r="1184" spans="1:15" x14ac:dyDescent="0.25">
      <c r="A1184">
        <v>954</v>
      </c>
      <c r="D1184" s="2">
        <v>26768.05</v>
      </c>
      <c r="E1184" s="2">
        <v>26768.05</v>
      </c>
      <c r="F1184" s="1"/>
      <c r="G1184"/>
      <c r="H1184" s="36" t="s">
        <v>108</v>
      </c>
      <c r="I1184" s="48"/>
      <c r="J1184" s="48"/>
    </row>
    <row r="1185" spans="1:10" x14ac:dyDescent="0.25">
      <c r="A1185">
        <v>955</v>
      </c>
      <c r="D1185" s="2">
        <v>111944.58</v>
      </c>
      <c r="E1185" s="2">
        <v>111944.58</v>
      </c>
      <c r="F1185" s="1"/>
      <c r="G1185"/>
      <c r="H1185" s="36" t="s">
        <v>56</v>
      </c>
      <c r="I1185" s="48"/>
      <c r="J1185" s="48"/>
    </row>
    <row r="1186" spans="1:10" x14ac:dyDescent="0.25">
      <c r="A1186">
        <v>956</v>
      </c>
      <c r="D1186" s="2">
        <v>122186.65</v>
      </c>
      <c r="E1186" s="2">
        <v>122186.65</v>
      </c>
      <c r="F1186" s="1"/>
      <c r="G1186"/>
      <c r="H1186" s="36" t="s">
        <v>56</v>
      </c>
      <c r="I1186" s="48"/>
      <c r="J1186" s="48"/>
    </row>
    <row r="1187" spans="1:10" x14ac:dyDescent="0.25">
      <c r="A1187">
        <v>958</v>
      </c>
      <c r="D1187" s="2">
        <v>127459.14</v>
      </c>
      <c r="E1187" s="2">
        <v>127459.14</v>
      </c>
      <c r="F1187" s="1"/>
      <c r="G1187"/>
      <c r="H1187" s="36" t="s">
        <v>56</v>
      </c>
      <c r="I1187" s="48"/>
      <c r="J1187" s="48"/>
    </row>
    <row r="1188" spans="1:10" x14ac:dyDescent="0.25">
      <c r="A1188">
        <v>959</v>
      </c>
      <c r="D1188" s="2">
        <v>127459.14</v>
      </c>
      <c r="E1188" s="2">
        <v>127459.14</v>
      </c>
      <c r="F1188" s="1"/>
      <c r="G1188"/>
      <c r="H1188" s="36" t="s">
        <v>56</v>
      </c>
      <c r="I1188" s="48"/>
      <c r="J1188" s="48"/>
    </row>
    <row r="1189" spans="1:10" x14ac:dyDescent="0.25">
      <c r="A1189">
        <v>960</v>
      </c>
      <c r="D1189" s="2">
        <v>127459.14</v>
      </c>
      <c r="E1189" s="2">
        <v>127459.14</v>
      </c>
      <c r="F1189" s="1"/>
      <c r="G1189"/>
      <c r="H1189" s="36" t="s">
        <v>56</v>
      </c>
      <c r="I1189" s="48"/>
      <c r="J1189" s="48"/>
    </row>
    <row r="1190" spans="1:10" x14ac:dyDescent="0.25">
      <c r="A1190">
        <v>961</v>
      </c>
      <c r="D1190" s="2">
        <v>127459.14</v>
      </c>
      <c r="E1190" s="2">
        <v>127459.14</v>
      </c>
      <c r="F1190" s="1"/>
      <c r="G1190"/>
      <c r="H1190" s="36" t="s">
        <v>56</v>
      </c>
      <c r="I1190" s="48"/>
      <c r="J1190" s="48"/>
    </row>
    <row r="1191" spans="1:10" x14ac:dyDescent="0.25">
      <c r="A1191">
        <v>962</v>
      </c>
      <c r="D1191" s="2">
        <v>127459.14</v>
      </c>
      <c r="E1191" s="2">
        <v>127459.14</v>
      </c>
      <c r="F1191" s="1"/>
      <c r="G1191"/>
      <c r="H1191" s="36" t="s">
        <v>56</v>
      </c>
      <c r="I1191" s="48"/>
      <c r="J1191" s="48"/>
    </row>
    <row r="1192" spans="1:10" x14ac:dyDescent="0.25">
      <c r="A1192">
        <v>963</v>
      </c>
      <c r="D1192" s="2">
        <v>254918.29</v>
      </c>
      <c r="E1192" s="2">
        <v>254918.29</v>
      </c>
      <c r="F1192" s="1"/>
      <c r="G1192"/>
      <c r="H1192" s="36" t="s">
        <v>56</v>
      </c>
      <c r="I1192" s="48"/>
      <c r="J1192" s="48"/>
    </row>
    <row r="1193" spans="1:10" x14ac:dyDescent="0.25">
      <c r="A1193">
        <v>964</v>
      </c>
      <c r="D1193" s="2">
        <v>254918.29</v>
      </c>
      <c r="E1193" s="2">
        <v>254918.29</v>
      </c>
      <c r="F1193" s="1"/>
      <c r="G1193"/>
      <c r="H1193" s="36" t="s">
        <v>56</v>
      </c>
      <c r="I1193" s="48"/>
      <c r="J1193" s="48"/>
    </row>
    <row r="1194" spans="1:10" x14ac:dyDescent="0.25">
      <c r="A1194">
        <v>965</v>
      </c>
      <c r="D1194" s="2">
        <v>254918.29</v>
      </c>
      <c r="E1194" s="2">
        <v>254918.29</v>
      </c>
      <c r="F1194" s="1"/>
      <c r="G1194"/>
      <c r="H1194" s="36" t="s">
        <v>56</v>
      </c>
      <c r="I1194" s="48"/>
      <c r="J1194" s="48"/>
    </row>
    <row r="1195" spans="1:10" x14ac:dyDescent="0.25">
      <c r="A1195">
        <v>966</v>
      </c>
      <c r="D1195" s="2">
        <v>254918.29</v>
      </c>
      <c r="E1195" s="2">
        <v>254918.29</v>
      </c>
      <c r="F1195" s="1"/>
      <c r="G1195"/>
      <c r="H1195" s="36" t="s">
        <v>56</v>
      </c>
      <c r="I1195" s="48"/>
      <c r="J1195" s="48"/>
    </row>
    <row r="1196" spans="1:10" x14ac:dyDescent="0.25">
      <c r="A1196">
        <v>967</v>
      </c>
      <c r="D1196" s="2">
        <v>254918.29</v>
      </c>
      <c r="E1196" s="2">
        <v>254918.29</v>
      </c>
      <c r="F1196" s="1"/>
      <c r="G1196"/>
      <c r="H1196" s="36" t="s">
        <v>56</v>
      </c>
      <c r="I1196" s="48"/>
      <c r="J1196" s="48"/>
    </row>
    <row r="1197" spans="1:10" x14ac:dyDescent="0.25">
      <c r="A1197">
        <v>968</v>
      </c>
      <c r="D1197" s="2">
        <v>254918.29</v>
      </c>
      <c r="E1197" s="2">
        <v>254918.29</v>
      </c>
      <c r="F1197" s="1"/>
      <c r="G1197"/>
      <c r="H1197" s="36" t="s">
        <v>56</v>
      </c>
      <c r="I1197" s="48"/>
      <c r="J1197" s="48"/>
    </row>
    <row r="1198" spans="1:10" x14ac:dyDescent="0.25">
      <c r="A1198">
        <v>969</v>
      </c>
      <c r="D1198" s="2">
        <v>213065.56</v>
      </c>
      <c r="E1198" s="2">
        <v>213065.56</v>
      </c>
      <c r="F1198" s="1"/>
      <c r="G1198"/>
      <c r="H1198" s="36" t="s">
        <v>56</v>
      </c>
      <c r="I1198" s="48"/>
      <c r="J1198" s="48"/>
    </row>
    <row r="1199" spans="1:10" x14ac:dyDescent="0.25">
      <c r="A1199">
        <v>970</v>
      </c>
      <c r="D1199" s="2">
        <v>213065.56</v>
      </c>
      <c r="E1199" s="2">
        <v>213065.56</v>
      </c>
      <c r="F1199" s="1"/>
      <c r="G1199"/>
      <c r="H1199" s="36" t="s">
        <v>56</v>
      </c>
      <c r="I1199" s="48"/>
      <c r="J1199" s="48"/>
    </row>
    <row r="1200" spans="1:10" x14ac:dyDescent="0.25">
      <c r="A1200">
        <v>971</v>
      </c>
      <c r="D1200" s="2">
        <v>213065.56</v>
      </c>
      <c r="E1200" s="2">
        <v>213065.56</v>
      </c>
      <c r="F1200" s="1"/>
      <c r="G1200"/>
      <c r="H1200" s="36" t="s">
        <v>56</v>
      </c>
      <c r="I1200" s="48"/>
      <c r="J1200" s="48"/>
    </row>
    <row r="1201" spans="1:10" x14ac:dyDescent="0.25">
      <c r="A1201">
        <v>972</v>
      </c>
      <c r="D1201" s="2">
        <v>48573.95</v>
      </c>
      <c r="E1201" s="2">
        <v>48573.95</v>
      </c>
      <c r="F1201" s="1"/>
      <c r="G1201"/>
      <c r="H1201" s="36" t="s">
        <v>54</v>
      </c>
      <c r="I1201" s="48"/>
      <c r="J1201" s="48"/>
    </row>
    <row r="1202" spans="1:10" x14ac:dyDescent="0.25">
      <c r="A1202">
        <v>973</v>
      </c>
      <c r="D1202" s="2">
        <v>48573.95</v>
      </c>
      <c r="E1202" s="2">
        <v>48573.95</v>
      </c>
      <c r="F1202" s="1"/>
      <c r="G1202"/>
      <c r="H1202" s="36" t="s">
        <v>54</v>
      </c>
      <c r="I1202" s="48"/>
      <c r="J1202" s="48"/>
    </row>
    <row r="1203" spans="1:10" x14ac:dyDescent="0.25">
      <c r="A1203">
        <v>974</v>
      </c>
      <c r="D1203" s="2">
        <v>48573.95</v>
      </c>
      <c r="E1203" s="2">
        <v>48573.95</v>
      </c>
      <c r="F1203" s="1"/>
      <c r="G1203"/>
      <c r="H1203" s="36" t="s">
        <v>54</v>
      </c>
      <c r="I1203" s="48"/>
      <c r="J1203" s="48"/>
    </row>
    <row r="1204" spans="1:10" x14ac:dyDescent="0.25">
      <c r="A1204">
        <v>975</v>
      </c>
      <c r="D1204" s="2">
        <v>48573.95</v>
      </c>
      <c r="E1204" s="2">
        <v>48573.95</v>
      </c>
      <c r="F1204" s="1"/>
      <c r="G1204"/>
      <c r="H1204" s="36" t="s">
        <v>54</v>
      </c>
      <c r="I1204" s="48"/>
      <c r="J1204" s="48"/>
    </row>
    <row r="1205" spans="1:10" x14ac:dyDescent="0.25">
      <c r="A1205">
        <v>976</v>
      </c>
      <c r="D1205" s="2">
        <v>48573.95</v>
      </c>
      <c r="E1205" s="2">
        <v>48573.95</v>
      </c>
      <c r="F1205" s="1"/>
      <c r="G1205"/>
      <c r="H1205" s="36" t="s">
        <v>54</v>
      </c>
      <c r="I1205" s="48"/>
      <c r="J1205" s="48"/>
    </row>
    <row r="1206" spans="1:10" x14ac:dyDescent="0.25">
      <c r="A1206">
        <v>977</v>
      </c>
      <c r="D1206" s="2">
        <v>48573.95</v>
      </c>
      <c r="E1206" s="2">
        <v>48573.95</v>
      </c>
      <c r="F1206" s="1"/>
      <c r="G1206"/>
      <c r="H1206" s="36" t="s">
        <v>54</v>
      </c>
      <c r="I1206" s="48"/>
      <c r="J1206" s="48"/>
    </row>
    <row r="1207" spans="1:10" x14ac:dyDescent="0.25">
      <c r="A1207">
        <v>978</v>
      </c>
      <c r="D1207" s="2">
        <v>48573.95</v>
      </c>
      <c r="E1207" s="2">
        <v>48573.95</v>
      </c>
      <c r="F1207" s="1"/>
      <c r="G1207"/>
      <c r="H1207" s="36" t="s">
        <v>54</v>
      </c>
      <c r="I1207" s="48"/>
      <c r="J1207" s="48"/>
    </row>
    <row r="1208" spans="1:10" x14ac:dyDescent="0.25">
      <c r="A1208">
        <v>979</v>
      </c>
      <c r="D1208" s="2">
        <v>48573.95</v>
      </c>
      <c r="E1208" s="2">
        <v>48573.95</v>
      </c>
      <c r="F1208" s="1"/>
      <c r="G1208"/>
      <c r="H1208" s="36" t="s">
        <v>54</v>
      </c>
      <c r="I1208" s="48"/>
      <c r="J1208" s="48"/>
    </row>
    <row r="1209" spans="1:10" x14ac:dyDescent="0.25">
      <c r="A1209">
        <v>98</v>
      </c>
      <c r="D1209" s="2">
        <v>139578.20000000001</v>
      </c>
      <c r="E1209" s="2">
        <v>139578.20000000001</v>
      </c>
      <c r="F1209" s="1"/>
      <c r="G1209"/>
      <c r="H1209" s="36" t="s">
        <v>54</v>
      </c>
      <c r="I1209" s="48"/>
      <c r="J1209" s="48"/>
    </row>
    <row r="1210" spans="1:10" x14ac:dyDescent="0.25">
      <c r="A1210">
        <v>980</v>
      </c>
      <c r="D1210" s="2">
        <v>48573.95</v>
      </c>
      <c r="E1210" s="2">
        <v>48573.95</v>
      </c>
      <c r="F1210" s="1"/>
      <c r="G1210"/>
      <c r="H1210" s="36" t="s">
        <v>54</v>
      </c>
      <c r="I1210" s="48"/>
      <c r="J1210" s="48"/>
    </row>
    <row r="1211" spans="1:10" x14ac:dyDescent="0.25">
      <c r="A1211">
        <v>981</v>
      </c>
      <c r="D1211" s="2">
        <v>48573.95</v>
      </c>
      <c r="E1211" s="2">
        <v>48573.95</v>
      </c>
      <c r="F1211" s="1"/>
      <c r="G1211"/>
      <c r="H1211" s="36" t="s">
        <v>54</v>
      </c>
      <c r="I1211" s="48"/>
      <c r="J1211" s="48"/>
    </row>
    <row r="1212" spans="1:10" x14ac:dyDescent="0.25">
      <c r="A1212">
        <v>982</v>
      </c>
      <c r="D1212" s="2">
        <v>48573.95</v>
      </c>
      <c r="E1212" s="2">
        <v>48573.95</v>
      </c>
      <c r="F1212" s="1"/>
      <c r="G1212"/>
      <c r="H1212" s="36" t="s">
        <v>54</v>
      </c>
      <c r="I1212" s="48"/>
      <c r="J1212" s="48"/>
    </row>
    <row r="1213" spans="1:10" x14ac:dyDescent="0.25">
      <c r="A1213">
        <v>983</v>
      </c>
      <c r="D1213" s="2">
        <v>48573.95</v>
      </c>
      <c r="E1213" s="2">
        <v>48573.95</v>
      </c>
      <c r="F1213" s="1"/>
      <c r="G1213"/>
      <c r="H1213" s="36" t="s">
        <v>54</v>
      </c>
      <c r="I1213" s="48"/>
      <c r="J1213" s="48"/>
    </row>
    <row r="1214" spans="1:10" x14ac:dyDescent="0.25">
      <c r="A1214">
        <v>984</v>
      </c>
      <c r="D1214" s="2">
        <v>48573.95</v>
      </c>
      <c r="E1214" s="2">
        <v>48573.95</v>
      </c>
      <c r="F1214" s="1"/>
      <c r="G1214"/>
      <c r="H1214" s="36" t="s">
        <v>54</v>
      </c>
      <c r="I1214" s="48"/>
      <c r="J1214" s="48"/>
    </row>
    <row r="1215" spans="1:10" x14ac:dyDescent="0.25">
      <c r="A1215">
        <v>985</v>
      </c>
      <c r="D1215" s="2">
        <v>48573.95</v>
      </c>
      <c r="E1215" s="2">
        <v>48573.95</v>
      </c>
      <c r="F1215" s="1"/>
      <c r="G1215"/>
      <c r="H1215" s="36" t="s">
        <v>54</v>
      </c>
      <c r="I1215" s="48"/>
      <c r="J1215" s="48"/>
    </row>
    <row r="1216" spans="1:10" x14ac:dyDescent="0.25">
      <c r="A1216">
        <v>986</v>
      </c>
      <c r="D1216" s="2">
        <v>48573.95</v>
      </c>
      <c r="E1216" s="2">
        <v>48573.95</v>
      </c>
      <c r="F1216" s="1"/>
      <c r="G1216"/>
      <c r="H1216" s="36" t="s">
        <v>54</v>
      </c>
      <c r="I1216" s="48"/>
      <c r="J1216" s="48"/>
    </row>
    <row r="1217" spans="1:10" x14ac:dyDescent="0.25">
      <c r="A1217">
        <v>987</v>
      </c>
      <c r="D1217" s="2">
        <v>48573.95</v>
      </c>
      <c r="E1217" s="2">
        <v>48573.95</v>
      </c>
      <c r="F1217" s="1"/>
      <c r="G1217"/>
      <c r="H1217" s="36" t="s">
        <v>54</v>
      </c>
      <c r="I1217" s="48"/>
      <c r="J1217" s="48"/>
    </row>
    <row r="1218" spans="1:10" x14ac:dyDescent="0.25">
      <c r="A1218">
        <v>988</v>
      </c>
      <c r="D1218" s="2">
        <v>48573.95</v>
      </c>
      <c r="E1218" s="2">
        <v>48573.95</v>
      </c>
      <c r="F1218" s="1"/>
      <c r="G1218"/>
      <c r="H1218" s="36" t="s">
        <v>54</v>
      </c>
      <c r="I1218" s="48"/>
      <c r="J1218" s="48"/>
    </row>
    <row r="1219" spans="1:10" x14ac:dyDescent="0.25">
      <c r="A1219">
        <v>989</v>
      </c>
      <c r="D1219" s="2">
        <v>48573.95</v>
      </c>
      <c r="E1219" s="2">
        <v>48573.95</v>
      </c>
      <c r="F1219" s="1"/>
      <c r="G1219"/>
      <c r="H1219" s="36" t="s">
        <v>54</v>
      </c>
      <c r="I1219" s="48"/>
      <c r="J1219" s="48"/>
    </row>
    <row r="1220" spans="1:10" x14ac:dyDescent="0.25">
      <c r="A1220">
        <v>99</v>
      </c>
      <c r="D1220" s="2">
        <v>5520.4800000000005</v>
      </c>
      <c r="E1220" s="2">
        <v>5520.4800000000005</v>
      </c>
      <c r="F1220" s="1"/>
      <c r="G1220"/>
      <c r="H1220" s="36" t="s">
        <v>64</v>
      </c>
      <c r="I1220" s="48"/>
      <c r="J1220" s="48"/>
    </row>
    <row r="1221" spans="1:10" x14ac:dyDescent="0.25">
      <c r="A1221">
        <v>990</v>
      </c>
      <c r="D1221" s="2">
        <v>48573.95</v>
      </c>
      <c r="E1221" s="2">
        <v>48573.95</v>
      </c>
      <c r="F1221" s="1"/>
      <c r="G1221"/>
      <c r="H1221" s="36" t="s">
        <v>54</v>
      </c>
      <c r="I1221" s="48"/>
      <c r="J1221" s="48"/>
    </row>
    <row r="1222" spans="1:10" x14ac:dyDescent="0.25">
      <c r="A1222">
        <v>991</v>
      </c>
      <c r="D1222" s="2">
        <v>48573.95</v>
      </c>
      <c r="E1222" s="2">
        <v>48573.95</v>
      </c>
      <c r="F1222" s="1"/>
      <c r="G1222"/>
      <c r="H1222" s="36" t="s">
        <v>54</v>
      </c>
      <c r="I1222" s="48"/>
      <c r="J1222" s="48"/>
    </row>
    <row r="1223" spans="1:10" x14ac:dyDescent="0.25">
      <c r="A1223">
        <v>992</v>
      </c>
      <c r="D1223" s="2">
        <v>48573.95</v>
      </c>
      <c r="E1223" s="2">
        <v>48573.95</v>
      </c>
      <c r="F1223" s="1"/>
      <c r="G1223"/>
      <c r="H1223" s="36" t="s">
        <v>54</v>
      </c>
      <c r="I1223" s="48"/>
      <c r="J1223" s="48"/>
    </row>
    <row r="1224" spans="1:10" x14ac:dyDescent="0.25">
      <c r="A1224">
        <v>993</v>
      </c>
      <c r="D1224" s="2">
        <v>48573.95</v>
      </c>
      <c r="E1224" s="2">
        <v>48573.95</v>
      </c>
      <c r="F1224" s="1"/>
      <c r="G1224"/>
      <c r="H1224" s="36" t="s">
        <v>54</v>
      </c>
      <c r="I1224" s="48"/>
      <c r="J1224" s="48"/>
    </row>
    <row r="1225" spans="1:10" x14ac:dyDescent="0.25">
      <c r="A1225">
        <v>994</v>
      </c>
      <c r="D1225" s="2">
        <v>48573.95</v>
      </c>
      <c r="E1225" s="2">
        <v>48573.95</v>
      </c>
      <c r="F1225" s="1"/>
      <c r="G1225"/>
      <c r="H1225" s="36" t="s">
        <v>54</v>
      </c>
      <c r="I1225" s="48"/>
      <c r="J1225" s="48"/>
    </row>
    <row r="1226" spans="1:10" x14ac:dyDescent="0.25">
      <c r="A1226">
        <v>995</v>
      </c>
      <c r="D1226" s="2">
        <v>48573.95</v>
      </c>
      <c r="E1226" s="2">
        <v>48573.95</v>
      </c>
      <c r="F1226" s="1"/>
      <c r="G1226"/>
      <c r="H1226" s="36" t="s">
        <v>54</v>
      </c>
      <c r="I1226" s="48"/>
      <c r="J1226" s="48"/>
    </row>
    <row r="1227" spans="1:10" x14ac:dyDescent="0.25">
      <c r="A1227">
        <v>996</v>
      </c>
      <c r="D1227" s="2">
        <v>48573.95</v>
      </c>
      <c r="E1227" s="2">
        <v>48573.95</v>
      </c>
      <c r="F1227" s="1"/>
      <c r="G1227"/>
      <c r="H1227" s="36" t="s">
        <v>54</v>
      </c>
      <c r="I1227" s="48"/>
      <c r="J1227" s="48"/>
    </row>
    <row r="1228" spans="1:10" x14ac:dyDescent="0.25">
      <c r="A1228">
        <v>997</v>
      </c>
      <c r="D1228" s="2">
        <v>48573.95</v>
      </c>
      <c r="E1228" s="2">
        <v>48573.95</v>
      </c>
      <c r="F1228" s="1"/>
      <c r="G1228"/>
      <c r="H1228" s="36" t="s">
        <v>54</v>
      </c>
      <c r="I1228" s="48"/>
      <c r="J1228" s="48"/>
    </row>
    <row r="1229" spans="1:10" x14ac:dyDescent="0.25">
      <c r="A1229">
        <v>998</v>
      </c>
      <c r="D1229" s="2">
        <v>48573.95</v>
      </c>
      <c r="E1229" s="2">
        <v>48573.95</v>
      </c>
      <c r="F1229" s="1"/>
      <c r="G1229"/>
      <c r="H1229" s="36" t="s">
        <v>54</v>
      </c>
      <c r="I1229" s="48"/>
      <c r="J1229" s="48"/>
    </row>
    <row r="1230" spans="1:10" x14ac:dyDescent="0.25">
      <c r="A1230">
        <v>999</v>
      </c>
      <c r="D1230" s="2">
        <v>48573.95</v>
      </c>
      <c r="E1230" s="2">
        <v>48573.95</v>
      </c>
      <c r="F1230" s="1"/>
      <c r="G1230"/>
      <c r="H1230" s="36" t="s">
        <v>54</v>
      </c>
      <c r="I1230" s="48"/>
      <c r="J1230" s="48"/>
    </row>
  </sheetData>
  <pageMargins left="0.511811024" right="0.511811024" top="0.78740157499999996" bottom="0.78740157499999996" header="0.31496062000000002" footer="0.31496062000000002"/>
  <pageSetup paperSize="9" scale="7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B1:L30"/>
  <sheetViews>
    <sheetView workbookViewId="0">
      <selection activeCell="B19" sqref="B19"/>
    </sheetView>
  </sheetViews>
  <sheetFormatPr defaultColWidth="9.140625" defaultRowHeight="15" x14ac:dyDescent="0.25"/>
  <cols>
    <col min="2" max="2" width="14.28515625" bestFit="1" customWidth="1"/>
    <col min="3" max="3" width="33.140625" bestFit="1" customWidth="1"/>
    <col min="4" max="5" width="21.42578125" bestFit="1" customWidth="1"/>
    <col min="6" max="6" width="10.7109375" bestFit="1" customWidth="1"/>
    <col min="9" max="9" width="29" bestFit="1" customWidth="1"/>
    <col min="10" max="10" width="18" bestFit="1" customWidth="1"/>
    <col min="11" max="11" width="22.7109375" bestFit="1" customWidth="1"/>
    <col min="12" max="12" width="31" bestFit="1" customWidth="1"/>
  </cols>
  <sheetData>
    <row r="1" spans="2:9" ht="15.75" thickBot="1" x14ac:dyDescent="0.3"/>
    <row r="2" spans="2:9" ht="18.75" x14ac:dyDescent="0.25">
      <c r="B2" s="49" t="s">
        <v>0</v>
      </c>
      <c r="C2" s="51"/>
      <c r="F2" s="49" t="s">
        <v>85</v>
      </c>
      <c r="G2" s="50"/>
      <c r="H2" s="50"/>
    </row>
    <row r="3" spans="2:9" x14ac:dyDescent="0.25">
      <c r="B3" s="20" t="s">
        <v>2</v>
      </c>
      <c r="C3" s="21" t="s">
        <v>3</v>
      </c>
    </row>
    <row r="4" spans="2:9" ht="15.75" thickBot="1" x14ac:dyDescent="0.3">
      <c r="B4" s="22">
        <f ca="1">TODAY()</f>
        <v>44930</v>
      </c>
      <c r="C4" s="23">
        <f ca="1">B4</f>
        <v>44930</v>
      </c>
      <c r="F4" s="1">
        <f ca="1">B4+7</f>
        <v>44937</v>
      </c>
    </row>
    <row r="6" spans="2:9" ht="15.75" thickBot="1" x14ac:dyDescent="0.3"/>
    <row r="7" spans="2:9" ht="18.75" x14ac:dyDescent="0.25">
      <c r="B7" s="49" t="s">
        <v>1</v>
      </c>
      <c r="C7" s="50"/>
      <c r="D7" s="50"/>
      <c r="E7" s="51"/>
    </row>
    <row r="8" spans="2:9" x14ac:dyDescent="0.25">
      <c r="B8" s="20" t="s">
        <v>1</v>
      </c>
      <c r="C8" s="16" t="s">
        <v>4</v>
      </c>
      <c r="D8" s="16" t="s">
        <v>5</v>
      </c>
      <c r="E8" s="21" t="s">
        <v>6</v>
      </c>
    </row>
    <row r="9" spans="2:9" ht="15.75" thickBot="1" x14ac:dyDescent="0.3">
      <c r="B9" s="24">
        <f ca="1">DAY(B4)</f>
        <v>4</v>
      </c>
      <c r="C9" s="25">
        <f ca="1">EOMONTH(B4,-1)+1</f>
        <v>44927</v>
      </c>
      <c r="D9" s="25">
        <f ca="1">EOMONTH(B4,0)</f>
        <v>44957</v>
      </c>
      <c r="E9" s="26">
        <f ca="1">WEEKDAY(B4)</f>
        <v>4</v>
      </c>
    </row>
    <row r="10" spans="2:9" ht="18.75" x14ac:dyDescent="0.25">
      <c r="I10" s="28" t="s">
        <v>12</v>
      </c>
    </row>
    <row r="11" spans="2:9" ht="15.75" thickBot="1" x14ac:dyDescent="0.3">
      <c r="I11" s="29" t="e" cm="1">
        <f t="array" aca="1" ref="I11:I16" ca="1">_xlfn.SEQUENCE((D14-C14)+1,1,C14,1)</f>
        <v>#NAME?</v>
      </c>
    </row>
    <row r="12" spans="2:9" ht="18.75" x14ac:dyDescent="0.25">
      <c r="B12" s="49" t="s">
        <v>7</v>
      </c>
      <c r="C12" s="50"/>
      <c r="D12" s="50"/>
      <c r="E12" s="51"/>
      <c r="I12" s="29" t="e">
        <f ca="1"/>
        <v>#NAME?</v>
      </c>
    </row>
    <row r="13" spans="2:9" x14ac:dyDescent="0.25">
      <c r="B13" s="20" t="s">
        <v>8</v>
      </c>
      <c r="C13" s="16" t="s">
        <v>9</v>
      </c>
      <c r="D13" s="16" t="s">
        <v>10</v>
      </c>
      <c r="E13" s="21" t="s">
        <v>11</v>
      </c>
      <c r="I13" s="29" t="e">
        <f ca="1"/>
        <v>#NAME?</v>
      </c>
    </row>
    <row r="14" spans="2:9" ht="15.75" thickBot="1" x14ac:dyDescent="0.3">
      <c r="B14" s="24">
        <f ca="1">WEEKNUM(B4)</f>
        <v>1</v>
      </c>
      <c r="C14" s="27">
        <f ca="1">WEEKNUM(C9)</f>
        <v>1</v>
      </c>
      <c r="D14" s="27">
        <f ca="1">WEEKNUM(D9)</f>
        <v>5</v>
      </c>
      <c r="E14" s="26">
        <f ca="1">(D14-C14)+1</f>
        <v>5</v>
      </c>
      <c r="I14" s="29" t="e">
        <f ca="1"/>
        <v>#NAME?</v>
      </c>
    </row>
    <row r="15" spans="2:9" x14ac:dyDescent="0.25">
      <c r="I15" s="29" t="e">
        <f ca="1"/>
        <v>#NAME?</v>
      </c>
    </row>
    <row r="16" spans="2:9" ht="15.75" thickBot="1" x14ac:dyDescent="0.3">
      <c r="I16" s="30" t="e">
        <f ca="1"/>
        <v>#NAME?</v>
      </c>
    </row>
    <row r="17" spans="2:12" ht="19.5" thickBot="1" x14ac:dyDescent="0.3">
      <c r="B17" s="49" t="s">
        <v>13</v>
      </c>
      <c r="C17" s="50"/>
      <c r="D17" s="51"/>
    </row>
    <row r="18" spans="2:12" ht="18.75" x14ac:dyDescent="0.25">
      <c r="B18" s="20" t="s">
        <v>13</v>
      </c>
      <c r="C18" s="16" t="s">
        <v>14</v>
      </c>
      <c r="D18" s="21" t="s">
        <v>15</v>
      </c>
      <c r="E18" s="38" t="s">
        <v>101</v>
      </c>
      <c r="F18" s="39" t="s">
        <v>102</v>
      </c>
      <c r="G18" s="40" t="s">
        <v>103</v>
      </c>
      <c r="I18" s="31" t="s">
        <v>13</v>
      </c>
      <c r="J18" s="32" t="s">
        <v>14</v>
      </c>
      <c r="K18" s="32" t="s">
        <v>15</v>
      </c>
      <c r="L18" s="33" t="s">
        <v>78</v>
      </c>
    </row>
    <row r="19" spans="2:12" ht="15.75" thickBot="1" x14ac:dyDescent="0.3">
      <c r="B19" s="24">
        <f ca="1">MONTH(B4)</f>
        <v>1</v>
      </c>
      <c r="C19" s="27" t="str">
        <f ca="1">VLOOKUP(B19,I18:K30,2,0)</f>
        <v>Janeiro</v>
      </c>
      <c r="D19" s="26" t="str">
        <f ca="1">VLOOKUP(B19,I18:L30,4,0)</f>
        <v>jan</v>
      </c>
      <c r="E19" s="41" t="str">
        <f ca="1">VLOOKUP(B19+1,I18:L30,4,0)</f>
        <v>feb</v>
      </c>
      <c r="F19" s="42" t="str">
        <f ca="1">VLOOKUP(B19+2,I18:L30,4,0)</f>
        <v>mar</v>
      </c>
      <c r="G19" s="43" t="str">
        <f ca="1">VLOOKUP(B19+3,I18:L30,4,0)</f>
        <v>apr</v>
      </c>
      <c r="I19" s="34">
        <v>1</v>
      </c>
      <c r="J19" s="19" t="s">
        <v>16</v>
      </c>
      <c r="K19" s="19" t="s">
        <v>28</v>
      </c>
      <c r="L19" s="35" t="s">
        <v>28</v>
      </c>
    </row>
    <row r="20" spans="2:12" x14ac:dyDescent="0.25">
      <c r="D20" s="37" t="str">
        <f ca="1">VLOOKUP(B19,I18:L30,3,0)</f>
        <v>jan</v>
      </c>
      <c r="E20" s="37" t="str">
        <f ca="1">VLOOKUP(B19+1,I18:L30,3,0)</f>
        <v>fev</v>
      </c>
      <c r="F20" s="37" t="str">
        <f ca="1">VLOOKUP(B19+2,I18:L30,3,0)</f>
        <v>mar</v>
      </c>
      <c r="G20" s="37" t="str">
        <f ca="1">VLOOKUP(B19+3,I18:L30,3,0)</f>
        <v>abr</v>
      </c>
      <c r="I20" s="34">
        <v>2</v>
      </c>
      <c r="J20" s="19" t="s">
        <v>17</v>
      </c>
      <c r="K20" s="19" t="s">
        <v>29</v>
      </c>
      <c r="L20" s="35" t="s">
        <v>77</v>
      </c>
    </row>
    <row r="21" spans="2:12" ht="15.75" thickBot="1" x14ac:dyDescent="0.3">
      <c r="I21" s="34">
        <v>3</v>
      </c>
      <c r="J21" s="19" t="s">
        <v>18</v>
      </c>
      <c r="K21" s="19" t="s">
        <v>30</v>
      </c>
      <c r="L21" s="35" t="s">
        <v>30</v>
      </c>
    </row>
    <row r="22" spans="2:12" ht="18.75" x14ac:dyDescent="0.25">
      <c r="B22" s="49" t="s">
        <v>40</v>
      </c>
      <c r="C22" s="50"/>
      <c r="D22" s="51"/>
      <c r="I22" s="34">
        <v>4</v>
      </c>
      <c r="J22" s="19" t="s">
        <v>19</v>
      </c>
      <c r="K22" s="19" t="s">
        <v>31</v>
      </c>
      <c r="L22" s="35" t="s">
        <v>79</v>
      </c>
    </row>
    <row r="23" spans="2:12" x14ac:dyDescent="0.25">
      <c r="B23" s="20" t="s">
        <v>41</v>
      </c>
      <c r="C23" s="16" t="s">
        <v>42</v>
      </c>
      <c r="D23" s="21" t="s">
        <v>72</v>
      </c>
      <c r="I23" s="34">
        <v>5</v>
      </c>
      <c r="J23" s="19" t="s">
        <v>20</v>
      </c>
      <c r="K23" s="19" t="s">
        <v>32</v>
      </c>
      <c r="L23" s="35" t="s">
        <v>80</v>
      </c>
    </row>
    <row r="24" spans="2:12" ht="15.75" thickBot="1" x14ac:dyDescent="0.3">
      <c r="B24" s="24">
        <f ca="1">YEAR(B4)</f>
        <v>2023</v>
      </c>
      <c r="C24" s="27">
        <f ca="1">B24-2000</f>
        <v>23</v>
      </c>
      <c r="D24" s="26">
        <f ca="1">B24-1</f>
        <v>2022</v>
      </c>
      <c r="I24" s="34">
        <v>6</v>
      </c>
      <c r="J24" s="19" t="s">
        <v>21</v>
      </c>
      <c r="K24" s="19" t="s">
        <v>33</v>
      </c>
      <c r="L24" s="35" t="s">
        <v>33</v>
      </c>
    </row>
    <row r="25" spans="2:12" x14ac:dyDescent="0.25">
      <c r="B25" s="44" t="s">
        <v>104</v>
      </c>
      <c r="I25" s="34">
        <v>7</v>
      </c>
      <c r="J25" s="19" t="s">
        <v>22</v>
      </c>
      <c r="K25" s="19" t="s">
        <v>34</v>
      </c>
      <c r="L25" s="35" t="s">
        <v>34</v>
      </c>
    </row>
    <row r="26" spans="2:12" ht="15.75" thickBot="1" x14ac:dyDescent="0.3">
      <c r="B26" s="30">
        <f ca="1">B24+1</f>
        <v>2024</v>
      </c>
      <c r="I26" s="34">
        <v>8</v>
      </c>
      <c r="J26" s="19" t="s">
        <v>23</v>
      </c>
      <c r="K26" s="19" t="s">
        <v>35</v>
      </c>
      <c r="L26" s="35" t="s">
        <v>81</v>
      </c>
    </row>
    <row r="27" spans="2:12" x14ac:dyDescent="0.25">
      <c r="I27" s="34">
        <v>9</v>
      </c>
      <c r="J27" s="19" t="s">
        <v>24</v>
      </c>
      <c r="K27" s="19" t="s">
        <v>36</v>
      </c>
      <c r="L27" s="35" t="s">
        <v>82</v>
      </c>
    </row>
    <row r="28" spans="2:12" x14ac:dyDescent="0.25">
      <c r="I28" s="34">
        <v>10</v>
      </c>
      <c r="J28" s="19" t="s">
        <v>25</v>
      </c>
      <c r="K28" s="19" t="s">
        <v>37</v>
      </c>
      <c r="L28" s="35" t="s">
        <v>83</v>
      </c>
    </row>
    <row r="29" spans="2:12" x14ac:dyDescent="0.25">
      <c r="I29" s="34">
        <v>11</v>
      </c>
      <c r="J29" s="19" t="s">
        <v>26</v>
      </c>
      <c r="K29" s="19" t="s">
        <v>38</v>
      </c>
      <c r="L29" s="35" t="s">
        <v>38</v>
      </c>
    </row>
    <row r="30" spans="2:12" ht="15.75" thickBot="1" x14ac:dyDescent="0.3">
      <c r="I30" s="24">
        <v>12</v>
      </c>
      <c r="J30" s="27" t="s">
        <v>27</v>
      </c>
      <c r="K30" s="27" t="s">
        <v>39</v>
      </c>
      <c r="L30" s="26" t="s">
        <v>84</v>
      </c>
    </row>
  </sheetData>
  <mergeCells count="6">
    <mergeCell ref="B22:D22"/>
    <mergeCell ref="F2:H2"/>
    <mergeCell ref="B2:C2"/>
    <mergeCell ref="B7:E7"/>
    <mergeCell ref="B12:E12"/>
    <mergeCell ref="B17:D17"/>
  </mergeCells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3FE9C-50D8-4243-9211-E98DE66326E5}">
  <sheetPr codeName="Planilha3"/>
  <dimension ref="A1:S28"/>
  <sheetViews>
    <sheetView topLeftCell="E1" workbookViewId="0">
      <selection activeCell="K20" sqref="K20"/>
    </sheetView>
  </sheetViews>
  <sheetFormatPr defaultColWidth="9.140625" defaultRowHeight="15" x14ac:dyDescent="0.25"/>
  <cols>
    <col min="1" max="1" width="23.28515625" bestFit="1" customWidth="1"/>
    <col min="2" max="4" width="26" bestFit="1" customWidth="1"/>
    <col min="5" max="5" width="7.28515625" bestFit="1" customWidth="1"/>
    <col min="6" max="6" width="26" bestFit="1" customWidth="1"/>
    <col min="7" max="8" width="20.7109375" bestFit="1" customWidth="1"/>
    <col min="9" max="9" width="20.7109375" customWidth="1"/>
    <col min="10" max="10" width="16.28515625" customWidth="1"/>
    <col min="11" max="11" width="20.7109375" bestFit="1" customWidth="1"/>
    <col min="12" max="12" width="20.140625" customWidth="1"/>
    <col min="13" max="13" width="19.5703125" bestFit="1" customWidth="1"/>
    <col min="14" max="14" width="19" bestFit="1" customWidth="1"/>
    <col min="16" max="17" width="15.85546875" bestFit="1" customWidth="1"/>
    <col min="18" max="18" width="19.5703125" bestFit="1" customWidth="1"/>
    <col min="19" max="19" width="19" bestFit="1" customWidth="1"/>
  </cols>
  <sheetData>
    <row r="1" spans="1:13" x14ac:dyDescent="0.25">
      <c r="A1" s="45" t="s">
        <v>45</v>
      </c>
      <c r="B1" s="46" t="s">
        <v>126</v>
      </c>
      <c r="H1" s="15">
        <v>2021</v>
      </c>
      <c r="I1" s="15">
        <v>2022</v>
      </c>
      <c r="J1" s="15">
        <f ca="1">DateSystem!B24</f>
        <v>2023</v>
      </c>
    </row>
    <row r="2" spans="1:13" x14ac:dyDescent="0.25">
      <c r="F2">
        <v>1</v>
      </c>
      <c r="G2" t="str">
        <f>VLOOKUP(F2,DateSystem!I18:K30,3,0)</f>
        <v>jan</v>
      </c>
      <c r="H2" s="13">
        <v>824086.29999999981</v>
      </c>
      <c r="I2" s="13">
        <v>4358381.26</v>
      </c>
      <c r="J2" s="13">
        <f ca="1">IFERROR(GETPIVOTDATA("Valor Médio da OS",$A$1,"Data de Emissão da NF",F2,"Anos",$J$1),0)</f>
        <v>474934</v>
      </c>
    </row>
    <row r="3" spans="1:13" x14ac:dyDescent="0.25">
      <c r="A3" s="45" t="s">
        <v>43</v>
      </c>
      <c r="B3" s="46" t="s">
        <v>44</v>
      </c>
      <c r="F3">
        <v>2</v>
      </c>
      <c r="G3" t="str">
        <f>VLOOKUP(F3,DateSystem!I19:K31,3,0)</f>
        <v>fev</v>
      </c>
      <c r="H3" s="13">
        <v>653863.05999999994</v>
      </c>
      <c r="I3" s="13">
        <v>2735480.5</v>
      </c>
      <c r="J3" s="13">
        <f t="shared" ref="J3:J13" ca="1" si="0">IFERROR(GETPIVOTDATA("Valor Médio da OS",$A$1,"Data de Emissão da NF",F3,"Anos",$J$1),0)</f>
        <v>0</v>
      </c>
      <c r="L3" s="16" t="s">
        <v>73</v>
      </c>
      <c r="M3" s="16" t="s">
        <v>74</v>
      </c>
    </row>
    <row r="4" spans="1:13" x14ac:dyDescent="0.25">
      <c r="A4" s="46" t="s">
        <v>28</v>
      </c>
      <c r="B4" s="47">
        <v>474934</v>
      </c>
      <c r="F4">
        <v>3</v>
      </c>
      <c r="G4" t="str">
        <f>VLOOKUP(F4,DateSystem!I20:K32,3,0)</f>
        <v>mar</v>
      </c>
      <c r="H4" s="13">
        <v>5474332.3961159969</v>
      </c>
      <c r="I4" s="13">
        <v>7005986.7700000005</v>
      </c>
      <c r="J4" s="13">
        <f t="shared" ca="1" si="0"/>
        <v>0</v>
      </c>
      <c r="L4" s="17">
        <f ca="1">(SUM(OFFSET('DB1'!$J$2:$J$13,0,0,DateSystem!$B$19,1))/SUM(OFFSET('DB1'!$I$2:$I$13,0,0,DateSystem!$B$19,1)))-1</f>
        <v>-0.89102972602263808</v>
      </c>
      <c r="M4" s="17">
        <f ca="1">(VLOOKUP(DateSystem!$B$19,'DB1'!$F$2:$J$13,5,0)/VLOOKUP(DateSystem!$B$19,'DB1'!$F$2:$J$13,4,0))-1</f>
        <v>-0.89102972602263808</v>
      </c>
    </row>
    <row r="5" spans="1:13" x14ac:dyDescent="0.25">
      <c r="F5">
        <v>4</v>
      </c>
      <c r="G5" t="str">
        <f>VLOOKUP(F5,DateSystem!I21:K33,3,0)</f>
        <v>abr</v>
      </c>
      <c r="H5" s="13">
        <v>4810154.8736040024</v>
      </c>
      <c r="I5" s="13">
        <v>8495938.5899999999</v>
      </c>
      <c r="J5" s="13">
        <f t="shared" ca="1" si="0"/>
        <v>0</v>
      </c>
    </row>
    <row r="6" spans="1:13" x14ac:dyDescent="0.25">
      <c r="F6">
        <v>5</v>
      </c>
      <c r="G6" t="str">
        <f>VLOOKUP(F6,DateSystem!I22:K34,3,0)</f>
        <v>mai</v>
      </c>
      <c r="H6" s="13">
        <v>5412962.6508613648</v>
      </c>
      <c r="I6" s="13">
        <v>9471844.5199999977</v>
      </c>
      <c r="J6" s="13">
        <f t="shared" ca="1" si="0"/>
        <v>0</v>
      </c>
      <c r="L6" s="52" t="s">
        <v>75</v>
      </c>
      <c r="M6" s="52"/>
    </row>
    <row r="7" spans="1:13" x14ac:dyDescent="0.25">
      <c r="F7">
        <v>6</v>
      </c>
      <c r="G7" t="str">
        <f>VLOOKUP(F7,DateSystem!I23:K35,3,0)</f>
        <v>jun</v>
      </c>
      <c r="H7" s="13">
        <v>5174172.6528008189</v>
      </c>
      <c r="I7" s="13">
        <v>8517833.5799999982</v>
      </c>
      <c r="J7" s="13">
        <f t="shared" ca="1" si="0"/>
        <v>0</v>
      </c>
      <c r="L7" s="54">
        <f>I14</f>
        <v>101432389.27999999</v>
      </c>
      <c r="M7" s="55"/>
    </row>
    <row r="8" spans="1:13" x14ac:dyDescent="0.25">
      <c r="F8">
        <v>7</v>
      </c>
      <c r="G8" t="str">
        <f>VLOOKUP(F8,DateSystem!I24:K36,3,0)</f>
        <v>jul</v>
      </c>
      <c r="H8" s="13">
        <v>1321446.5468400498</v>
      </c>
      <c r="I8" s="13">
        <v>14222362.419999996</v>
      </c>
      <c r="J8" s="13">
        <f t="shared" ca="1" si="0"/>
        <v>0</v>
      </c>
    </row>
    <row r="9" spans="1:13" x14ac:dyDescent="0.25">
      <c r="F9">
        <v>8</v>
      </c>
      <c r="G9" t="str">
        <f>VLOOKUP(F9,DateSystem!I25:K37,3,0)</f>
        <v>ago</v>
      </c>
      <c r="H9" s="13">
        <v>5225888.4800000004</v>
      </c>
      <c r="I9" s="13">
        <v>11764477.290000001</v>
      </c>
      <c r="J9" s="13">
        <f t="shared" ca="1" si="0"/>
        <v>0</v>
      </c>
      <c r="L9" s="52" t="s">
        <v>76</v>
      </c>
      <c r="M9" s="52"/>
    </row>
    <row r="10" spans="1:13" x14ac:dyDescent="0.25">
      <c r="F10">
        <v>9</v>
      </c>
      <c r="G10" t="str">
        <f>VLOOKUP(F10,DateSystem!I26:K38,3,0)</f>
        <v>set</v>
      </c>
      <c r="H10" s="13">
        <v>3505731.4399999985</v>
      </c>
      <c r="I10" s="13">
        <v>10684289.829999996</v>
      </c>
      <c r="J10" s="13">
        <f t="shared" ca="1" si="0"/>
        <v>0</v>
      </c>
      <c r="L10" s="53">
        <f ca="1">J14</f>
        <v>474934</v>
      </c>
      <c r="M10" s="53"/>
    </row>
    <row r="11" spans="1:13" x14ac:dyDescent="0.25">
      <c r="F11">
        <v>10</v>
      </c>
      <c r="G11" t="str">
        <f>VLOOKUP(F11,DateSystem!I27:K39,3,0)</f>
        <v>out</v>
      </c>
      <c r="H11" s="13">
        <v>2979326.56</v>
      </c>
      <c r="I11" s="13">
        <v>9472709.5099999942</v>
      </c>
      <c r="J11" s="13">
        <f t="shared" ca="1" si="0"/>
        <v>0</v>
      </c>
    </row>
    <row r="12" spans="1:13" x14ac:dyDescent="0.25">
      <c r="F12">
        <v>11</v>
      </c>
      <c r="G12" t="str">
        <f>VLOOKUP(F12,DateSystem!I28:K40,3,0)</f>
        <v>nov</v>
      </c>
      <c r="H12" s="13">
        <v>635379.42000000004</v>
      </c>
      <c r="I12" s="13">
        <v>6936572.0600000005</v>
      </c>
      <c r="J12" s="13">
        <f t="shared" ca="1" si="0"/>
        <v>0</v>
      </c>
    </row>
    <row r="13" spans="1:13" x14ac:dyDescent="0.25">
      <c r="F13">
        <v>12</v>
      </c>
      <c r="G13" t="str">
        <f>VLOOKUP(F13,DateSystem!I29:K41,3,0)</f>
        <v>dez</v>
      </c>
      <c r="H13" s="13">
        <v>2939234.36</v>
      </c>
      <c r="I13" s="13">
        <v>7766512.9500000048</v>
      </c>
      <c r="J13" s="13">
        <f t="shared" ca="1" si="0"/>
        <v>0</v>
      </c>
    </row>
    <row r="14" spans="1:13" x14ac:dyDescent="0.25">
      <c r="G14" t="s">
        <v>71</v>
      </c>
      <c r="H14" s="13">
        <v>38956578.740222231</v>
      </c>
      <c r="I14" s="13">
        <f>SUM(I2:I13)</f>
        <v>101432389.27999999</v>
      </c>
      <c r="J14" s="13">
        <f ca="1">SUM(J2:J13)</f>
        <v>474934</v>
      </c>
    </row>
    <row r="22" spans="15:19" x14ac:dyDescent="0.25">
      <c r="O22" s="15"/>
      <c r="P22" s="18"/>
      <c r="Q22" s="18"/>
      <c r="R22" s="15"/>
      <c r="S22" s="15"/>
    </row>
    <row r="23" spans="15:19" x14ac:dyDescent="0.25">
      <c r="P23" s="13"/>
      <c r="Q23" s="13"/>
      <c r="R23" s="14"/>
      <c r="S23" s="14"/>
    </row>
    <row r="24" spans="15:19" x14ac:dyDescent="0.25">
      <c r="P24" s="13"/>
      <c r="Q24" s="13"/>
      <c r="R24" s="14"/>
      <c r="S24" s="14"/>
    </row>
    <row r="25" spans="15:19" x14ac:dyDescent="0.25">
      <c r="P25" s="13"/>
      <c r="Q25" s="13"/>
      <c r="R25" s="14"/>
      <c r="S25" s="14"/>
    </row>
    <row r="26" spans="15:19" x14ac:dyDescent="0.25">
      <c r="P26" s="13"/>
      <c r="Q26" s="13"/>
      <c r="R26" s="14"/>
      <c r="S26" s="14"/>
    </row>
    <row r="27" spans="15:19" x14ac:dyDescent="0.25">
      <c r="P27" s="13"/>
      <c r="Q27" s="13"/>
      <c r="R27" s="14"/>
      <c r="S27" s="14"/>
    </row>
    <row r="28" spans="15:19" x14ac:dyDescent="0.25">
      <c r="P28" s="13"/>
      <c r="Q28" s="13"/>
      <c r="R28" s="14"/>
      <c r="S28" s="14"/>
    </row>
  </sheetData>
  <mergeCells count="4">
    <mergeCell ref="L6:M6"/>
    <mergeCell ref="L9:M9"/>
    <mergeCell ref="L10:M10"/>
    <mergeCell ref="L7:M7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4B139-5A8F-4558-9D8F-59006C4E50F9}">
  <sheetPr codeName="Planilha4">
    <pageSetUpPr fitToPage="1"/>
  </sheetPr>
  <dimension ref="A1:Q28"/>
  <sheetViews>
    <sheetView showGridLines="0" tabSelected="1" zoomScale="120" zoomScaleNormal="120" workbookViewId="0">
      <selection activeCell="I33" sqref="I33"/>
    </sheetView>
  </sheetViews>
  <sheetFormatPr defaultRowHeight="15" x14ac:dyDescent="0.25"/>
  <sheetData>
    <row r="1" spans="1:17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7"/>
    </row>
    <row r="2" spans="1:17" x14ac:dyDescent="0.25">
      <c r="A2" s="8"/>
      <c r="Q2" s="9"/>
    </row>
    <row r="3" spans="1:17" x14ac:dyDescent="0.25">
      <c r="A3" s="8"/>
      <c r="Q3" s="9"/>
    </row>
    <row r="4" spans="1:17" x14ac:dyDescent="0.25">
      <c r="A4" s="8"/>
      <c r="Q4" s="9"/>
    </row>
    <row r="5" spans="1:17" x14ac:dyDescent="0.25">
      <c r="A5" s="8"/>
      <c r="Q5" s="9"/>
    </row>
    <row r="6" spans="1:17" x14ac:dyDescent="0.25">
      <c r="A6" s="8"/>
      <c r="Q6" s="9"/>
    </row>
    <row r="7" spans="1:17" x14ac:dyDescent="0.25">
      <c r="A7" s="8"/>
      <c r="Q7" s="9"/>
    </row>
    <row r="8" spans="1:17" x14ac:dyDescent="0.25">
      <c r="A8" s="8"/>
      <c r="Q8" s="9"/>
    </row>
    <row r="9" spans="1:17" x14ac:dyDescent="0.25">
      <c r="A9" s="8"/>
      <c r="Q9" s="9"/>
    </row>
    <row r="10" spans="1:17" x14ac:dyDescent="0.25">
      <c r="A10" s="8"/>
      <c r="Q10" s="9"/>
    </row>
    <row r="11" spans="1:17" x14ac:dyDescent="0.25">
      <c r="A11" s="8"/>
      <c r="Q11" s="9"/>
    </row>
    <row r="12" spans="1:17" x14ac:dyDescent="0.25">
      <c r="A12" s="8"/>
      <c r="Q12" s="9"/>
    </row>
    <row r="13" spans="1:17" x14ac:dyDescent="0.25">
      <c r="A13" s="8"/>
      <c r="Q13" s="9"/>
    </row>
    <row r="14" spans="1:17" x14ac:dyDescent="0.25">
      <c r="A14" s="8"/>
      <c r="Q14" s="9"/>
    </row>
    <row r="15" spans="1:17" x14ac:dyDescent="0.25">
      <c r="A15" s="8"/>
      <c r="Q15" s="9"/>
    </row>
    <row r="16" spans="1:17" x14ac:dyDescent="0.25">
      <c r="A16" s="8"/>
      <c r="Q16" s="9"/>
    </row>
    <row r="17" spans="1:17" x14ac:dyDescent="0.25">
      <c r="A17" s="8"/>
      <c r="Q17" s="9"/>
    </row>
    <row r="18" spans="1:17" x14ac:dyDescent="0.25">
      <c r="A18" s="8"/>
      <c r="Q18" s="9"/>
    </row>
    <row r="19" spans="1:17" x14ac:dyDescent="0.25">
      <c r="A19" s="8"/>
      <c r="Q19" s="9"/>
    </row>
    <row r="20" spans="1:17" x14ac:dyDescent="0.25">
      <c r="A20" s="8"/>
      <c r="Q20" s="9"/>
    </row>
    <row r="21" spans="1:17" x14ac:dyDescent="0.25">
      <c r="A21" s="8"/>
      <c r="Q21" s="9"/>
    </row>
    <row r="22" spans="1:17" x14ac:dyDescent="0.25">
      <c r="A22" s="8"/>
      <c r="Q22" s="9"/>
    </row>
    <row r="23" spans="1:17" x14ac:dyDescent="0.25">
      <c r="A23" s="8"/>
      <c r="Q23" s="9"/>
    </row>
    <row r="24" spans="1:17" x14ac:dyDescent="0.25">
      <c r="A24" s="8"/>
      <c r="Q24" s="9"/>
    </row>
    <row r="25" spans="1:17" x14ac:dyDescent="0.25">
      <c r="A25" s="8"/>
      <c r="Q25" s="9"/>
    </row>
    <row r="26" spans="1:17" x14ac:dyDescent="0.25">
      <c r="A26" s="8"/>
      <c r="Q26" s="9"/>
    </row>
    <row r="27" spans="1:17" x14ac:dyDescent="0.25">
      <c r="A27" s="8"/>
      <c r="Q27" s="9"/>
    </row>
    <row r="28" spans="1:17" ht="15.75" thickBot="1" x14ac:dyDescent="0.3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2"/>
    </row>
  </sheetData>
  <pageMargins left="0.511811024" right="0.511811024" top="0.78740157499999996" bottom="0.78740157499999996" header="0.31496062000000002" footer="0.31496062000000002"/>
  <pageSetup paperSize="9" scale="87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D0263DA-BE68-40FA-AF22-166CB406BB30}">
  <ds:schemaRefs/>
</ds:datastoreItem>
</file>

<file path=customXml/itemProps2.xml><?xml version="1.0" encoding="utf-8"?>
<ds:datastoreItem xmlns:ds="http://schemas.openxmlformats.org/officeDocument/2006/customXml" ds:itemID="{5B3209EB-1D4A-4D17-82CC-E487CFECEB6A}">
  <ds:schemaRefs/>
</ds:datastoreItem>
</file>

<file path=customXml/itemProps3.xml><?xml version="1.0" encoding="utf-8"?>
<ds:datastoreItem xmlns:ds="http://schemas.openxmlformats.org/officeDocument/2006/customXml" ds:itemID="{586B2E8F-F462-48E5-9A9D-60F712877766}">
  <ds:schemaRefs/>
</ds:datastoreItem>
</file>

<file path=customXml/itemProps4.xml><?xml version="1.0" encoding="utf-8"?>
<ds:datastoreItem xmlns:ds="http://schemas.openxmlformats.org/officeDocument/2006/customXml" ds:itemID="{49B18409-EF03-4A05-83AF-61DEC3BFB684}">
  <ds:schemaRefs/>
</ds:datastoreItem>
</file>

<file path=customXml/itemProps5.xml><?xml version="1.0" encoding="utf-8"?>
<ds:datastoreItem xmlns:ds="http://schemas.openxmlformats.org/officeDocument/2006/customXml" ds:itemID="{6C073B0A-527A-4DA5-8608-459D4A836C28}">
  <ds:schemaRefs/>
</ds:datastoreItem>
</file>

<file path=customXml/itemProps6.xml><?xml version="1.0" encoding="utf-8"?>
<ds:datastoreItem xmlns:ds="http://schemas.openxmlformats.org/officeDocument/2006/customXml" ds:itemID="{DE16D07C-2807-48F7-A109-358D5085EAED}">
  <ds:schemaRefs/>
</ds:datastoreItem>
</file>

<file path=customXml/itemProps7.xml><?xml version="1.0" encoding="utf-8"?>
<ds:datastoreItem xmlns:ds="http://schemas.openxmlformats.org/officeDocument/2006/customXml" ds:itemID="{4E7E806D-21D2-43C5-97AC-DF955B408674}">
  <ds:schemaRefs/>
</ds:datastoreItem>
</file>

<file path=customXml/itemProps8.xml><?xml version="1.0" encoding="utf-8"?>
<ds:datastoreItem xmlns:ds="http://schemas.openxmlformats.org/officeDocument/2006/customXml" ds:itemID="{FF098A49-2CE0-4D90-BBE5-5DA24959283A}">
  <ds:schemaRefs/>
</ds:datastoreItem>
</file>

<file path=customXml/itemProps9.xml><?xml version="1.0" encoding="utf-8"?>
<ds:datastoreItem xmlns:ds="http://schemas.openxmlformats.org/officeDocument/2006/customXml" ds:itemID="{A0908128-01BE-4D19-8B36-E5EF2F1C7DA0}">
  <ds:schemaRefs/>
</ds:datastoreItem>
</file>

<file path=customXml/itemProps10.xml><?xml version="1.0" encoding="utf-8"?>
<ds:datastoreItem xmlns:ds="http://schemas.openxmlformats.org/officeDocument/2006/customXml" ds:itemID="{5B0B50ED-2B8E-40AC-BC94-805DAAB64CA1}">
  <ds:schemaRefs/>
</ds:datastoreItem>
</file>

<file path=customXml/itemProps11.xml><?xml version="1.0" encoding="utf-8"?>
<ds:datastoreItem xmlns:ds="http://schemas.openxmlformats.org/officeDocument/2006/customXml" ds:itemID="{863A35BF-BA47-4029-997D-92FBCAA21793}">
  <ds:schemaRefs/>
</ds:datastoreItem>
</file>

<file path=customXml/itemProps12.xml><?xml version="1.0" encoding="utf-8"?>
<ds:datastoreItem xmlns:ds="http://schemas.openxmlformats.org/officeDocument/2006/customXml" ds:itemID="{4C0E8B48-C980-4A22-9377-E5D2F78C7432}">
  <ds:schemaRefs/>
</ds:datastoreItem>
</file>

<file path=customXml/itemProps13.xml><?xml version="1.0" encoding="utf-8"?>
<ds:datastoreItem xmlns:ds="http://schemas.openxmlformats.org/officeDocument/2006/customXml" ds:itemID="{4036EC6A-E0DF-409F-8C92-75DA9DC00771}">
  <ds:schemaRefs/>
</ds:datastoreItem>
</file>

<file path=customXml/itemProps14.xml><?xml version="1.0" encoding="utf-8"?>
<ds:datastoreItem xmlns:ds="http://schemas.openxmlformats.org/officeDocument/2006/customXml" ds:itemID="{C0FCD8C1-827D-4525-91F0-229EB5457683}">
  <ds:schemaRefs/>
</ds:datastoreItem>
</file>

<file path=customXml/itemProps15.xml><?xml version="1.0" encoding="utf-8"?>
<ds:datastoreItem xmlns:ds="http://schemas.openxmlformats.org/officeDocument/2006/customXml" ds:itemID="{B8BBE6FF-8C5A-41C9-B9CB-A26F3726ACAB}">
  <ds:schemaRefs/>
</ds:datastoreItem>
</file>

<file path=customXml/itemProps16.xml><?xml version="1.0" encoding="utf-8"?>
<ds:datastoreItem xmlns:ds="http://schemas.openxmlformats.org/officeDocument/2006/customXml" ds:itemID="{7DE0DF11-C67C-40C0-A2F4-5EFDC5A2CF01}">
  <ds:schemaRefs/>
</ds:datastoreItem>
</file>

<file path=customXml/itemProps17.xml><?xml version="1.0" encoding="utf-8"?>
<ds:datastoreItem xmlns:ds="http://schemas.openxmlformats.org/officeDocument/2006/customXml" ds:itemID="{E5530177-2347-4CAC-8E72-E37408D765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vwFaturamentoOS</vt:lpstr>
      <vt:lpstr>DateSystem</vt:lpstr>
      <vt:lpstr>DB1</vt:lpstr>
      <vt:lpstr>Faturamento</vt:lpstr>
      <vt:lpstr>Faturamento!Print_Area</vt:lpstr>
      <vt:lpstr>vwFaturamentoOS!Print_Area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Alberto Barbosa Junior</dc:creator>
  <cp:lastModifiedBy>Carlos Alberto Barbosa Junior</cp:lastModifiedBy>
  <cp:lastPrinted>2022-09-15T19:32:19Z</cp:lastPrinted>
  <dcterms:created xsi:type="dcterms:W3CDTF">2015-06-05T18:19:34Z</dcterms:created>
  <dcterms:modified xsi:type="dcterms:W3CDTF">2023-01-04T10:54:51Z</dcterms:modified>
</cp:coreProperties>
</file>